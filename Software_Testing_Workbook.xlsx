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Unit Test Cases" sheetId="2" state="visible" r:id="rId2"/>
    <sheet name="Functional E2E Tests" sheetId="3" state="visible" r:id="rId3"/>
    <sheet name="Browser Compatibility" sheetId="4" state="visible" r:id="rId4"/>
    <sheet name="API Performance Test" sheetId="5" state="visible" r:id="rId5"/>
    <sheet name="Module API Integration" sheetId="6" state="visible" r:id="rId6"/>
    <sheet name="Test Summary" sheetId="7" state="visible" r:id="rId7"/>
  </sheets>
  <definedNames>
    <definedName name="_xlnm._FilterDatabase" localSheetId="0" hidden="1">'Requirements'!$A$3:$G$26</definedName>
    <definedName name="_xlnm._FilterDatabase" localSheetId="1" hidden="1">'Unit Test Cases'!$A$3:$M$95</definedName>
    <definedName name="_xlnm._FilterDatabase" localSheetId="2" hidden="1">'Functional E2E Tests'!$A$3:$M$40</definedName>
    <definedName name="_xlnm._FilterDatabase" localSheetId="3" hidden="1">'Browser Compatibility'!$A$3:$M$22</definedName>
    <definedName name="_xlnm._FilterDatabase" localSheetId="4" hidden="1">'API Performance Test'!$A$3:$P$17</definedName>
    <definedName name="_xlnm._FilterDatabase" localSheetId="5" hidden="1">'Module API Integration'!$A$3:$J$18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808080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C55A11"/>
        <bgColor rgb="00C55A11"/>
      </patternFill>
    </fill>
    <fill>
      <patternFill patternType="solid">
        <fgColor rgb="00595959"/>
        <bgColor rgb="00595959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9" borderId="1" pivotButton="0" quotePrefix="0" xfId="0"/>
    <xf numFmtId="0" fontId="4" fillId="0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595959"/>
        <sz val="11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12" customWidth="1" min="4" max="4"/>
    <col width="18" customWidth="1" min="5" max="5"/>
    <col width="16" customWidth="1" min="6" max="6"/>
    <col width="46" customWidth="1" min="7" max="7"/>
  </cols>
  <sheetData>
    <row r="1" ht="26" customHeight="1">
      <c r="A1" s="1" t="inlineStr">
        <is>
          <t>Requirements Register - TAHDCO Unified Dashboard Portal (UDP)</t>
        </is>
      </c>
    </row>
    <row r="2" ht="16" customHeight="1">
      <c r="A2" s="2" t="inlineStr">
        <is>
          <t>Real functional requirements from the project BRD/FRD specification (REQ-01..REQ-20) plus code-verified additions (REQ-21..REQ-23).</t>
        </is>
      </c>
    </row>
    <row r="3" ht="30" customHeight="1">
      <c r="A3" s="3" t="inlineStr">
        <is>
          <t>Req ID</t>
        </is>
      </c>
      <c r="B3" s="3" t="inlineStr">
        <is>
          <t>Requirement</t>
        </is>
      </c>
      <c r="C3" s="3" t="inlineStr">
        <is>
          <t>Description</t>
        </is>
      </c>
      <c r="D3" s="3" t="inlineStr">
        <is>
          <t>Priority</t>
        </is>
      </c>
      <c r="E3" s="3" t="inlineStr">
        <is>
          <t>Developer/Tester</t>
        </is>
      </c>
      <c r="F3" s="3" t="inlineStr">
        <is>
          <t>Status</t>
        </is>
      </c>
      <c r="G3" s="3" t="inlineStr">
        <is>
          <t>Remarks</t>
        </is>
      </c>
    </row>
    <row r="4" ht="35" customHeight="1">
      <c r="A4" s="4" t="inlineStr">
        <is>
          <t>REQ-01</t>
        </is>
      </c>
      <c r="B4" s="4" t="inlineStr">
        <is>
          <t>Executive MD Dashboard</t>
        </is>
      </c>
      <c r="C4" s="4" t="inlineStr">
        <is>
          <t>Unified Executive KPI Cards &amp; District-wise Master Datatable aggregating engineering &amp; welfare metrics.</t>
        </is>
      </c>
      <c r="D4" s="4" t="inlineStr">
        <is>
          <t>High</t>
        </is>
      </c>
      <c r="E4" s="4" t="inlineStr">
        <is>
          <t>Frontend Dev</t>
        </is>
      </c>
      <c r="F4" s="4" t="inlineStr">
        <is>
          <t>Implemented</t>
        </is>
      </c>
      <c r="G4" s="4" t="inlineStr">
        <is>
          <t>Covered by DashboardMdComponent specs (UT-FE-01..06).</t>
        </is>
      </c>
    </row>
    <row r="5" ht="35" customHeight="1">
      <c r="A5" s="5" t="inlineStr">
        <is>
          <t>REQ-02</t>
        </is>
      </c>
      <c r="B5" s="5" t="inlineStr">
        <is>
          <t>Engineering Tenders</t>
        </is>
      </c>
      <c r="C5" s="5" t="inlineStr">
        <is>
          <t>TIPS Tender Management tracking work numbers, contractor allocations, financial values &amp; milestone progress.</t>
        </is>
      </c>
      <c r="D5" s="5" t="inlineStr">
        <is>
          <t>High</t>
        </is>
      </c>
      <c r="E5" s="5" t="inlineStr">
        <is>
          <t>Full Stack Dev</t>
        </is>
      </c>
      <c r="F5" s="5" t="inlineStr">
        <is>
          <t>Implemented</t>
        </is>
      </c>
      <c r="G5" s="5" t="inlineStr">
        <is>
          <t>Covered by TenderComponent specs (UT-FE-30..35).</t>
        </is>
      </c>
    </row>
    <row r="6" ht="35" customHeight="1">
      <c r="A6" s="4" t="inlineStr">
        <is>
          <t>REQ-03</t>
        </is>
      </c>
      <c r="B6" s="4" t="inlineStr">
        <is>
          <t>Housing Scheme</t>
        </is>
      </c>
      <c r="C6" s="4" t="inlineStr">
        <is>
          <t>THMS Free Housing Construction Tracking with geotagged inspection photos &amp; milestone level progress.</t>
        </is>
      </c>
      <c r="D6" s="4" t="inlineStr">
        <is>
          <t>High</t>
        </is>
      </c>
      <c r="E6" s="4" t="inlineStr">
        <is>
          <t>Full Stack Dev</t>
        </is>
      </c>
      <c r="F6" s="4" t="inlineStr">
        <is>
          <t>Implemented</t>
        </is>
      </c>
      <c r="G6" s="4" t="inlineStr">
        <is>
          <t>Covered by HousingComponent specs (UT-FE-36..41).</t>
        </is>
      </c>
    </row>
    <row r="7" ht="35" customHeight="1">
      <c r="A7" s="5" t="inlineStr">
        <is>
          <t>REQ-04</t>
        </is>
      </c>
      <c r="B7" s="5" t="inlineStr">
        <is>
          <t>Attendance &amp; Skill</t>
        </is>
      </c>
      <c r="C7" s="5" t="inlineStr">
        <is>
          <t>TAMS Vocational Training &amp; Trainee Enrollment Tracking across institutes &amp; course completion rates.</t>
        </is>
      </c>
      <c r="D7" s="5" t="inlineStr">
        <is>
          <t>Medium</t>
        </is>
      </c>
      <c r="E7" s="5" t="inlineStr">
        <is>
          <t>Full Stack Dev</t>
        </is>
      </c>
      <c r="F7" s="5" t="inlineStr">
        <is>
          <t>Implemented</t>
        </is>
      </c>
      <c r="G7" s="5" t="inlineStr">
        <is>
          <t>Covered by EnrollmentComponent specs (UT-FE-42..47).</t>
        </is>
      </c>
    </row>
    <row r="8" ht="35" customHeight="1">
      <c r="A8" s="4" t="inlineStr">
        <is>
          <t>REQ-05</t>
        </is>
      </c>
      <c r="B8" s="4" t="inlineStr">
        <is>
          <t>TAHDCO Welfare Schemes</t>
        </is>
      </c>
      <c r="C8" s="4" t="inlineStr">
        <is>
          <t>District-wise Application Summary &amp; Details for subsidy applications, DM &amp; HQ approvals.</t>
        </is>
      </c>
      <c r="D8" s="4" t="inlineStr">
        <is>
          <t>High</t>
        </is>
      </c>
      <c r="E8" s="4" t="inlineStr">
        <is>
          <t>Full Stack Dev</t>
        </is>
      </c>
      <c r="F8" s="4" t="inlineStr">
        <is>
          <t>Implemented</t>
        </is>
      </c>
      <c r="G8" s="4" t="inlineStr">
        <is>
          <t>Covered by SchemeReportComponent specs (UT-FE-21..26).</t>
        </is>
      </c>
    </row>
    <row r="9" ht="35" customHeight="1">
      <c r="A9" s="5" t="inlineStr">
        <is>
          <t>REQ-06</t>
        </is>
      </c>
      <c r="B9" s="5" t="inlineStr">
        <is>
          <t>CCTV Surveillance</t>
        </is>
      </c>
      <c r="C9" s="5" t="inlineStr">
        <is>
          <t>Patrol360 High-Definition Site Camera Live Status, online/offline duration tracking &amp; inspection feed.</t>
        </is>
      </c>
      <c r="D9" s="5" t="inlineStr">
        <is>
          <t>High</t>
        </is>
      </c>
      <c r="E9" s="5" t="inlineStr">
        <is>
          <t>Full Stack Dev</t>
        </is>
      </c>
      <c r="F9" s="5" t="inlineStr">
        <is>
          <t>Implemented</t>
        </is>
      </c>
      <c r="G9" s="5" t="inlineStr">
        <is>
          <t>Covered by Patrol360Component specs (UT-FE-48..53).</t>
        </is>
      </c>
    </row>
    <row r="10" ht="35" customHeight="1">
      <c r="A10" s="4" t="inlineStr">
        <is>
          <t>REQ-07</t>
        </is>
      </c>
      <c r="B10" s="4" t="inlineStr">
        <is>
          <t>Welfare Board Cards</t>
        </is>
      </c>
      <c r="C10" s="4" t="inlineStr">
        <is>
          <t>TNCWWB Construction Worker Member Registration &amp; Welfare Claims tracking with Card Issued status.</t>
        </is>
      </c>
      <c r="D10" s="4" t="inlineStr">
        <is>
          <t>High</t>
        </is>
      </c>
      <c r="E10" s="4" t="inlineStr">
        <is>
          <t>Full Stack Dev</t>
        </is>
      </c>
      <c r="F10" s="4" t="inlineStr">
        <is>
          <t>Implemented</t>
        </is>
      </c>
      <c r="G10" s="4" t="inlineStr">
        <is>
          <t>Covered by TncwwbComponent specs (UT-FE-18..20).</t>
        </is>
      </c>
    </row>
    <row r="11" ht="35" customHeight="1">
      <c r="A11" s="5" t="inlineStr">
        <is>
          <t>REQ-08</t>
        </is>
      </c>
      <c r="B11" s="5" t="inlineStr">
        <is>
          <t>Higher Education Loans</t>
        </is>
      </c>
      <c r="C11" s="5" t="inlineStr">
        <is>
          <t>TELP Economic Loan Application Details tracking per district, division, and category type.</t>
        </is>
      </c>
      <c r="D11" s="5" t="inlineStr">
        <is>
          <t>High</t>
        </is>
      </c>
      <c r="E11" s="5" t="inlineStr">
        <is>
          <t>Full Stack Dev</t>
        </is>
      </c>
      <c r="F11" s="5" t="inlineStr">
        <is>
          <t>Implemented</t>
        </is>
      </c>
      <c r="G11" s="5" t="inlineStr">
        <is>
          <t>TELP data rendered inside the Scheme Report (REQ-05).</t>
        </is>
      </c>
    </row>
    <row r="12" ht="35" customHeight="1">
      <c r="A12" s="4" t="inlineStr">
        <is>
          <t>REQ-09</t>
        </is>
      </c>
      <c r="B12" s="4" t="inlineStr">
        <is>
          <t>Official Diaries</t>
        </is>
      </c>
      <c r="C12" s="4" t="inlineStr">
        <is>
          <t>TOD Task &amp; Event Monitoring tracking overdue tasks, active events, and progress status.</t>
        </is>
      </c>
      <c r="D12" s="4" t="inlineStr">
        <is>
          <t>Medium</t>
        </is>
      </c>
      <c r="E12" s="4" t="inlineStr">
        <is>
          <t>Full Stack Dev</t>
        </is>
      </c>
      <c r="F12" s="4" t="inlineStr">
        <is>
          <t>Implemented</t>
        </is>
      </c>
      <c r="G12" s="4" t="inlineStr">
        <is>
          <t>Covered by TodComponent specs (UT-FE-54..59).</t>
        </is>
      </c>
    </row>
    <row r="13" ht="35" customHeight="1">
      <c r="A13" s="5" t="inlineStr">
        <is>
          <t>REQ-10</t>
        </is>
      </c>
      <c r="B13" s="5" t="inlineStr">
        <is>
          <t>Scheduler Control</t>
        </is>
      </c>
      <c r="C13" s="5" t="inlineStr">
        <is>
          <t>Dynamic Hangfire Job Control for automated API ingestion across all 7 project APIs (14 Endpoints).</t>
        </is>
      </c>
      <c r="D13" s="5" t="inlineStr">
        <is>
          <t>Critical</t>
        </is>
      </c>
      <c r="E13" s="5" t="inlineStr">
        <is>
          <t>Backend Dev</t>
        </is>
      </c>
      <c r="F13" s="5" t="inlineStr">
        <is>
          <t>Implemented</t>
        </is>
      </c>
      <c r="G13" s="5" t="inlineStr">
        <is>
          <t>Covered by ingestion/scheduler backend tests (UT-BE-01/07/08, UT-FE-69..71).</t>
        </is>
      </c>
    </row>
    <row r="14" ht="35" customHeight="1">
      <c r="A14" s="4" t="inlineStr">
        <is>
          <t>REQ-11</t>
        </is>
      </c>
      <c r="B14" s="4" t="inlineStr">
        <is>
          <t>Preset Templates</t>
        </is>
      </c>
      <c r="C14" s="4" t="inlineStr">
        <is>
          <t>1-Click Scheduler Job Preset Selector pre-populating Job Name, API URL, HTTP Method, and JSON Payload.</t>
        </is>
      </c>
      <c r="D14" s="4" t="inlineStr">
        <is>
          <t>High</t>
        </is>
      </c>
      <c r="E14" s="4" t="inlineStr">
        <is>
          <t>Backend Dev</t>
        </is>
      </c>
      <c r="F14" s="4" t="inlineStr">
        <is>
          <t>Implemented</t>
        </is>
      </c>
      <c r="G14" s="4" t="inlineStr"/>
    </row>
    <row r="15" ht="35" customHeight="1">
      <c r="A15" s="5" t="inlineStr">
        <is>
          <t>REQ-12</t>
        </is>
      </c>
      <c r="B15" s="5" t="inlineStr">
        <is>
          <t>RAG Vector Ingestion</t>
        </is>
      </c>
      <c r="C15" s="5" t="inlineStr">
        <is>
          <t>Sub-second multi-project ingestion into vector search engine supporting LLM question answering.</t>
        </is>
      </c>
      <c r="D15" s="5" t="inlineStr">
        <is>
          <t>High</t>
        </is>
      </c>
      <c r="E15" s="5" t="inlineStr">
        <is>
          <t>Backend Dev</t>
        </is>
      </c>
      <c r="F15" s="5" t="inlineStr">
        <is>
          <t>Implemented</t>
        </is>
      </c>
      <c r="G15" s="5" t="inlineStr">
        <is>
          <t>Covered by GetRecordsAsync backend test (UT-BE-02).</t>
        </is>
      </c>
    </row>
    <row r="16" ht="35" customHeight="1">
      <c r="A16" s="4" t="inlineStr">
        <is>
          <t>REQ-13</t>
        </is>
      </c>
      <c r="B16" s="4" t="inlineStr">
        <is>
          <t>1:1 Count Alignment</t>
        </is>
      </c>
      <c r="C16" s="4" t="inlineStr">
        <is>
          <t>Enforce strict 1:1 match between clicked table cell counts and detail row lengths across all 7 projects.</t>
        </is>
      </c>
      <c r="D16" s="4" t="inlineStr">
        <is>
          <t>Critical</t>
        </is>
      </c>
      <c r="E16" s="4" t="inlineStr">
        <is>
          <t>Frontend Dev</t>
        </is>
      </c>
      <c r="F16" s="4" t="inlineStr">
        <is>
          <t>Implemented</t>
        </is>
      </c>
      <c r="G16" s="4" t="inlineStr">
        <is>
          <t>Covered by dashboard-md payload + drill specs (UT-FE-03..06, UT-FE-60..68).</t>
        </is>
      </c>
    </row>
    <row r="17" ht="49.5" customHeight="1">
      <c r="A17" s="5" t="inlineStr">
        <is>
          <t>REQ-14</t>
        </is>
      </c>
      <c r="B17" s="5" t="inlineStr">
        <is>
          <t>Zero Filter Loss</t>
        </is>
      </c>
      <c r="C17" s="5" t="inlineStr">
        <is>
          <t>Preserve District, Division, Year, Status, and Category filters seamlessly when navigating from Dashboard to Applications.</t>
        </is>
      </c>
      <c r="D17" s="5" t="inlineStr">
        <is>
          <t>Critical</t>
        </is>
      </c>
      <c r="E17" s="5" t="inlineStr">
        <is>
          <t>Frontend Dev</t>
        </is>
      </c>
      <c r="F17" s="5" t="inlineStr">
        <is>
          <t>Implemented</t>
        </is>
      </c>
      <c r="G17" s="5" t="inlineStr">
        <is>
          <t>Covered by TncwwbComponent queryParams restore spec (UT-FE-19).</t>
        </is>
      </c>
    </row>
    <row r="18" ht="49.5" customHeight="1">
      <c r="A18" s="4" t="inlineStr">
        <is>
          <t>REQ-15</t>
        </is>
      </c>
      <c r="B18" s="4" t="inlineStr">
        <is>
          <t>Role Access Control</t>
        </is>
      </c>
      <c r="C18" s="4" t="inlineStr">
        <is>
          <t>Role-based privilege enforcement restricting module access based on user role (Admin, MD, GM, CE, EE, DM).</t>
        </is>
      </c>
      <c r="D18" s="4" t="inlineStr">
        <is>
          <t>High</t>
        </is>
      </c>
      <c r="E18" s="4" t="inlineStr">
        <is>
          <t>Backend Dev</t>
        </is>
      </c>
      <c r="F18" s="4" t="inlineStr">
        <is>
          <t>Implemented</t>
        </is>
      </c>
      <c r="G18" s="4" t="inlineStr">
        <is>
          <t>Enforced on API (JWT apps claim) and UI (route guard). Covered by overview/shell specs (UT-FE-27..29, 72..78).</t>
        </is>
      </c>
    </row>
    <row r="19" ht="35" customHeight="1">
      <c r="A19" s="5" t="inlineStr">
        <is>
          <t>REQ-16</t>
        </is>
      </c>
      <c r="B19" s="5" t="inlineStr">
        <is>
          <t>GIS Map Visualizer</t>
        </is>
      </c>
      <c r="C19" s="5" t="inlineStr">
        <is>
          <t>Interactive Tamil Nadu District Map rendering live project markers, status badges, and hover tooltips.</t>
        </is>
      </c>
      <c r="D19" s="5" t="inlineStr">
        <is>
          <t>Medium</t>
        </is>
      </c>
      <c r="E19" s="5" t="inlineStr">
        <is>
          <t>Frontend Dev</t>
        </is>
      </c>
      <c r="F19" s="5" t="inlineStr">
        <is>
          <t>Implemented</t>
        </is>
      </c>
      <c r="G19" s="5" t="inlineStr">
        <is>
          <t>Rendered inside Executive MD Dashboard.</t>
        </is>
      </c>
    </row>
    <row r="20" ht="35" customHeight="1">
      <c r="A20" s="4" t="inlineStr">
        <is>
          <t>REQ-17</t>
        </is>
      </c>
      <c r="B20" s="4" t="inlineStr">
        <is>
          <t>Global Header Search</t>
        </is>
      </c>
      <c r="C20" s="4" t="inlineStr">
        <is>
          <t>Live Search dropdown matching works, beneficiaries, tenders, and district scopes in real time.</t>
        </is>
      </c>
      <c r="D20" s="4" t="inlineStr">
        <is>
          <t>Medium</t>
        </is>
      </c>
      <c r="E20" s="4" t="inlineStr">
        <is>
          <t>Frontend Dev</t>
        </is>
      </c>
      <c r="F20" s="4" t="inlineStr">
        <is>
          <t>Implemented</t>
        </is>
      </c>
      <c r="G20" s="4" t="inlineStr"/>
    </row>
    <row r="21" ht="35" customHeight="1">
      <c r="A21" s="5" t="inlineStr">
        <is>
          <t>REQ-18</t>
        </is>
      </c>
      <c r="B21" s="5" t="inlineStr">
        <is>
          <t>PDF/Excel Export</t>
        </is>
      </c>
      <c r="C21" s="5" t="inlineStr">
        <is>
          <t>One-click export of detailed report tables to CSV/Excel format for offline administrative analysis.</t>
        </is>
      </c>
      <c r="D21" s="5" t="inlineStr">
        <is>
          <t>Medium</t>
        </is>
      </c>
      <c r="E21" s="5" t="inlineStr">
        <is>
          <t>Backend Dev</t>
        </is>
      </c>
      <c r="F21" s="5" t="inlineStr">
        <is>
          <t>Implemented</t>
        </is>
      </c>
      <c r="G21" s="5" t="inlineStr">
        <is>
          <t>PDF via QuestPDF.</t>
        </is>
      </c>
    </row>
    <row r="22" ht="35" customHeight="1">
      <c r="A22" s="4" t="inlineStr">
        <is>
          <t>REQ-19</t>
        </is>
      </c>
      <c r="B22" s="4" t="inlineStr">
        <is>
          <t>System Notifications</t>
        </is>
      </c>
      <c r="C22" s="4" t="inlineStr">
        <is>
          <t>Centralized notification overlay modal filtering system alerts by project, frequency, and status.</t>
        </is>
      </c>
      <c r="D22" s="4" t="inlineStr">
        <is>
          <t>Low</t>
        </is>
      </c>
      <c r="E22" s="4" t="inlineStr">
        <is>
          <t>Frontend Dev</t>
        </is>
      </c>
      <c r="F22" s="4" t="inlineStr">
        <is>
          <t>Implemented</t>
        </is>
      </c>
      <c r="G22" s="4" t="inlineStr"/>
    </row>
    <row r="23" ht="35" customHeight="1">
      <c r="A23" s="5" t="inlineStr">
        <is>
          <t>REQ-20</t>
        </is>
      </c>
      <c r="B23" s="5" t="inlineStr">
        <is>
          <t>AI Copilot Widget</t>
        </is>
      </c>
      <c r="C23" s="5" t="inlineStr">
        <is>
          <t>Floating AI Assistant widget for natural language querying of state-wide TAHDCO project metrics.</t>
        </is>
      </c>
      <c r="D23" s="5" t="inlineStr">
        <is>
          <t>Medium</t>
        </is>
      </c>
      <c r="E23" s="5" t="inlineStr">
        <is>
          <t>Full Stack Dev</t>
        </is>
      </c>
      <c r="F23" s="5" t="inlineStr">
        <is>
          <t>Implemented</t>
        </is>
      </c>
      <c r="G23" s="5" t="inlineStr">
        <is>
          <t>RAG-backed (REQ-12).</t>
        </is>
      </c>
    </row>
    <row r="24" ht="49.5" customHeight="1">
      <c r="A24" s="4" t="inlineStr">
        <is>
          <t>REQ-21</t>
        </is>
      </c>
      <c r="B24" s="4" t="inlineStr">
        <is>
          <t>User Authentication</t>
        </is>
      </c>
      <c r="C24" s="4" t="inlineStr">
        <is>
          <t>JWT-based login for registered users with role &amp; privilege claims embedded in the token for session authorization.</t>
        </is>
      </c>
      <c r="D24" s="4" t="inlineStr">
        <is>
          <t>Critical</t>
        </is>
      </c>
      <c r="E24" s="4" t="inlineStr">
        <is>
          <t>Backend Dev</t>
        </is>
      </c>
      <c r="F24" s="4" t="inlineStr">
        <is>
          <t>Implemented</t>
        </is>
      </c>
      <c r="G24" s="4" t="inlineStr">
        <is>
          <t>Seeded demo users use password 'password123'. Covered by AuthService tests + login specs (UT-BE-04..06, UT-FE-10..14).</t>
        </is>
      </c>
    </row>
    <row r="25" ht="35" customHeight="1">
      <c r="A25" s="5" t="inlineStr">
        <is>
          <t>REQ-22</t>
        </is>
      </c>
      <c r="B25" s="5" t="inlineStr">
        <is>
          <t>Audit Logging</t>
        </is>
      </c>
      <c r="C25" s="5" t="inlineStr">
        <is>
          <t>Centralized audit trail recording Authentication, Ingestion, and Scheduler actions for admin review and filtering.</t>
        </is>
      </c>
      <c r="D25" s="5" t="inlineStr">
        <is>
          <t>Medium</t>
        </is>
      </c>
      <c r="E25" s="5" t="inlineStr">
        <is>
          <t>Full Stack Dev</t>
        </is>
      </c>
      <c r="F25" s="5" t="inlineStr">
        <is>
          <t>Implemented</t>
        </is>
      </c>
      <c r="G25" s="5" t="inlineStr">
        <is>
          <t>Covered by AuditLogComponent specs (UT-FE-15..17).</t>
        </is>
      </c>
    </row>
    <row r="26" ht="35" customHeight="1">
      <c r="A26" s="4" t="inlineStr">
        <is>
          <t>REQ-23</t>
        </is>
      </c>
      <c r="B26" s="4" t="inlineStr">
        <is>
          <t>User Master</t>
        </is>
      </c>
      <c r="C26" s="4" t="inlineStr">
        <is>
          <t>Full user CRUD with district assignment and a per-project privilege matrix managed from the User Master screen.</t>
        </is>
      </c>
      <c r="D26" s="4" t="inlineStr">
        <is>
          <t>High</t>
        </is>
      </c>
      <c r="E26" s="4" t="inlineStr">
        <is>
          <t>Full Stack Dev</t>
        </is>
      </c>
      <c r="F26" s="4" t="inlineStr">
        <is>
          <t>Implemented</t>
        </is>
      </c>
      <c r="G26" s="4" t="inlineStr">
        <is>
          <t>Covered by UserMasterComponent specs (UT-FE-79..83).</t>
        </is>
      </c>
    </row>
  </sheetData>
  <autoFilter ref="A3:G26"/>
  <mergeCells count="2">
    <mergeCell ref="A2:G2"/>
    <mergeCell ref="A1:G1"/>
  </mergeCells>
  <conditionalFormatting sqref="D4:D226">
    <cfRule type="cellIs" priority="1" operator="equal" dxfId="0">
      <formula>"Critical"</formula>
    </cfRule>
    <cfRule type="cellIs" priority="2" operator="equal" dxfId="1">
      <formula>"High"</formula>
    </cfRule>
  </conditionalFormatting>
  <conditionalFormatting sqref="F4:F226">
    <cfRule type="cellIs" priority="3" operator="equal" dxfId="2">
      <formula>"Implemented"</formula>
    </cfRule>
    <cfRule type="cellIs" priority="4" operator="equal" dxfId="1">
      <formula>"In Progress"</formula>
    </cfRule>
    <cfRule type="cellIs" priority="5" operator="equal" dxfId="0">
      <formula>"Blocked"</formula>
    </cfRule>
    <cfRule type="cellIs" priority="6" operator="equal" dxfId="3">
      <formula>"Not Started"</formula>
    </cfRule>
    <cfRule type="cellIs" priority="7" operator="equal" dxfId="3">
      <formula>"Deferred"</formula>
    </cfRule>
  </conditionalFormatting>
  <dataValidations count="2">
    <dataValidation sqref="D4:D226" showDropDown="0" showInputMessage="0" showErrorMessage="1" allowBlank="1" errorTitle="Invalid value" error="Please pick a value from the dropdown list." type="list">
      <formula1>"Critical,High,Medium,Low"</formula1>
    </dataValidation>
    <dataValidation sqref="F4:F226" showDropDown="0" showInputMessage="0" showErrorMessage="1" allowBlank="1" errorTitle="Invalid value" error="Please pick a value from the dropdown list." type="list">
      <formula1>"Implemented,In Progress,Not Started,Deferred,Blocked"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44" customWidth="1" min="4" max="4"/>
    <col width="32" customWidth="1" min="5" max="5"/>
    <col width="46" customWidth="1" min="6" max="6"/>
    <col width="38" customWidth="1" min="7" max="7"/>
    <col width="44" customWidth="1" min="8" max="8"/>
    <col width="30" customWidth="1" min="9" max="9"/>
    <col width="14" customWidth="1" min="10" max="10"/>
    <col width="18" customWidth="1" min="11" max="11"/>
    <col width="12" customWidth="1" min="12" max="12"/>
    <col width="40" customWidth="1" min="13" max="13"/>
  </cols>
  <sheetData>
    <row r="1" ht="26" customHeight="1">
      <c r="A1" s="1" t="inlineStr">
        <is>
          <t>Unit Test Cases - Real Automated Test Suite (results from Aug 10, 2026 run)</t>
        </is>
      </c>
    </row>
    <row r="2" ht="16" customHeight="1">
      <c r="A2" s="2" t="inlineStr">
        <is>
          <t>92 tests from the project's actual suite: 9 backend xUnit (backend/API.Tests) + 83 frontend Jasmine/Karma (src/app/**/*.spec.ts). All 92 pass: backend 9/9 (dotnet test) and frontend 83/83 (ng test, ChromeHeadless). The 32 specs that initially failed were repaired on this date.</t>
        </is>
      </c>
    </row>
    <row r="3" ht="30" customHeight="1">
      <c r="A3" s="6" t="inlineStr">
        <is>
          <t>Test Case ID</t>
        </is>
      </c>
      <c r="B3" s="6" t="inlineStr">
        <is>
          <t>Requirement ID</t>
        </is>
      </c>
      <c r="C3" s="6" t="inlineStr">
        <is>
          <t>Module</t>
        </is>
      </c>
      <c r="D3" s="6" t="inlineStr">
        <is>
          <t>Test Scenario</t>
        </is>
      </c>
      <c r="E3" s="6" t="inlineStr">
        <is>
          <t>Preconditions</t>
        </is>
      </c>
      <c r="F3" s="6" t="inlineStr">
        <is>
          <t>Test Steps</t>
        </is>
      </c>
      <c r="G3" s="6" t="inlineStr">
        <is>
          <t>Test Data</t>
        </is>
      </c>
      <c r="H3" s="6" t="inlineStr">
        <is>
          <t>Expected Result</t>
        </is>
      </c>
      <c r="I3" s="6" t="inlineStr">
        <is>
          <t>Actual Result</t>
        </is>
      </c>
      <c r="J3" s="6" t="inlineStr">
        <is>
          <t>Status</t>
        </is>
      </c>
      <c r="K3" s="6" t="inlineStr">
        <is>
          <t>Tester</t>
        </is>
      </c>
      <c r="L3" s="6" t="inlineStr">
        <is>
          <t>Defect ID</t>
        </is>
      </c>
      <c r="M3" s="6" t="inlineStr">
        <is>
          <t>Remarks</t>
        </is>
      </c>
    </row>
    <row r="4" ht="64" customHeight="1">
      <c r="A4" s="4" t="inlineStr">
        <is>
          <t>UT-BE-01</t>
        </is>
      </c>
      <c r="B4" s="4" t="inlineStr">
        <is>
          <t>REQ-10</t>
        </is>
      </c>
      <c r="C4" s="4" t="inlineStr">
        <is>
          <t>UnifiedIngestionService (BAL)</t>
        </is>
      </c>
      <c r="D4" s="4" t="inlineStr">
        <is>
          <t>SyncAllProjectApisAsync_CompletesSuccessfully_And_ReturnsResult | Verify a full sync across all project APIs completes and returns a batch result</t>
        </is>
      </c>
      <c r="E4" s="4" t="inlineStr">
        <is>
          <t>Mocked IHttpClientFactory / IDapperRepository; JwtSettings test key configured</t>
        </is>
      </c>
      <c r="F4" s="4" t="inlineStr">
        <is>
          <t>Mock HttpClient SendAsync to return 200 OK with '{}' for every API call; call SyncAllProjectApisAsync() and assert the result</t>
        </is>
      </c>
      <c r="G4" s="4" t="inlineStr">
        <is>
          <t>Mocked 200 OK responses for all 9 project API statuses</t>
        </is>
      </c>
      <c r="H4" s="4" t="inlineStr">
        <is>
          <t>result.Success is true; SyncBatchId not null; TotalDurationSeconds &gt;= 0; ApiStatuses.Count == 9</t>
        </is>
      </c>
      <c r="I4" s="4" t="inlineStr">
        <is>
          <t>As expected - test passed</t>
        </is>
      </c>
      <c r="J4" s="4" t="inlineStr">
        <is>
          <t>Passed</t>
        </is>
      </c>
      <c r="K4" s="4" t="inlineStr">
        <is>
          <t>Automated (xUnit)</t>
        </is>
      </c>
      <c r="L4" s="4" t="inlineStr"/>
      <c r="M4" s="4" t="inlineStr">
        <is>
          <t>Test: backend/API.Tests/UnifiedIngestionServiceTests.cs</t>
        </is>
      </c>
    </row>
    <row r="5" ht="49.5" customHeight="1">
      <c r="A5" s="5" t="inlineStr">
        <is>
          <t>UT-BE-02</t>
        </is>
      </c>
      <c r="B5" s="5" t="inlineStr">
        <is>
          <t>REQ-12</t>
        </is>
      </c>
      <c r="C5" s="5" t="inlineStr">
        <is>
          <t>UnifiedIngestionService (BAL)</t>
        </is>
      </c>
      <c r="D5" s="5" t="inlineStr">
        <is>
          <t>GetRecordsAsync_FiltersByProjectName | Verify ingested records are filtered by project name</t>
        </is>
      </c>
      <c r="E5" s="5" t="inlineStr">
        <is>
          <t>Mocked IHttpClientFactory / IDapperRepository; JwtSettings test key configured</t>
        </is>
      </c>
      <c r="F5" s="5" t="inlineStr">
        <is>
          <t>Call GetRecordsAsync(projectName: 'TELP') and assert every returned record belongs to TELP</t>
        </is>
      </c>
      <c r="G5" s="5" t="inlineStr">
        <is>
          <t>projectName = 'TELP'</t>
        </is>
      </c>
      <c r="H5" s="5" t="inlineStr">
        <is>
          <t>Result not empty; every record.ProjectName == 'TELP'</t>
        </is>
      </c>
      <c r="I5" s="5" t="inlineStr">
        <is>
          <t>As expected - test passed</t>
        </is>
      </c>
      <c r="J5" s="5" t="inlineStr">
        <is>
          <t>Passed</t>
        </is>
      </c>
      <c r="K5" s="5" t="inlineStr">
        <is>
          <t>Automated (xUnit)</t>
        </is>
      </c>
      <c r="L5" s="5" t="inlineStr"/>
      <c r="M5" s="5" t="inlineStr">
        <is>
          <t>Test: backend/API.Tests/UnifiedIngestionServiceTests.cs</t>
        </is>
      </c>
    </row>
    <row r="6" ht="49.5" customHeight="1">
      <c r="A6" s="4" t="inlineStr">
        <is>
          <t>UT-BE-03</t>
        </is>
      </c>
      <c r="B6" s="4" t="inlineStr">
        <is>
          <t>REQ-01</t>
        </is>
      </c>
      <c r="C6" s="4" t="inlineStr">
        <is>
          <t>UnifiedIngestionService (BAL)</t>
        </is>
      </c>
      <c r="D6" s="4" t="inlineStr">
        <is>
          <t>GetUnifiedDashboardCountsAsync_ReturnsExpectedCounts | Verify unified dashboard counts include the expected key and value</t>
        </is>
      </c>
      <c r="E6" s="4" t="inlineStr">
        <is>
          <t>Mocked IHttpClientFactory / IDapperRepository; JwtSettings test key configured</t>
        </is>
      </c>
      <c r="F6" s="4" t="inlineStr">
        <is>
          <t>Call GetUnifiedDashboardCountsAsync() and assert the TIPS total works count</t>
        </is>
      </c>
      <c r="G6" s="4" t="inlineStr">
        <is>
          <t>Expected TIPS_TotalWorks = 1542</t>
        </is>
      </c>
      <c r="H6" s="4" t="inlineStr">
        <is>
          <t>Result contains 'TIPS_TotalWorks' key with value 1542</t>
        </is>
      </c>
      <c r="I6" s="4" t="inlineStr">
        <is>
          <t>As expected - test passed</t>
        </is>
      </c>
      <c r="J6" s="4" t="inlineStr">
        <is>
          <t>Passed</t>
        </is>
      </c>
      <c r="K6" s="4" t="inlineStr">
        <is>
          <t>Automated (xUnit)</t>
        </is>
      </c>
      <c r="L6" s="4" t="inlineStr"/>
      <c r="M6" s="4" t="inlineStr">
        <is>
          <t>Test: backend/API.Tests/UnifiedIngestionServiceTests.cs</t>
        </is>
      </c>
    </row>
    <row r="7" ht="49.5" customHeight="1">
      <c r="A7" s="5" t="inlineStr">
        <is>
          <t>UT-BE-04</t>
        </is>
      </c>
      <c r="B7" s="5" t="inlineStr">
        <is>
          <t>REQ-21</t>
        </is>
      </c>
      <c r="C7" s="5" t="inlineStr">
        <is>
          <t>AuthService (BAL)</t>
        </is>
      </c>
      <c r="D7" s="5" t="inlineStr">
        <is>
          <t>LoginAsync_InvalidEmail_ReturnsNull | Verify login with a non-existent email returns null</t>
        </is>
      </c>
      <c r="E7" s="5" t="inlineStr">
        <is>
          <t>Mocked IHttpClientFactory / IDapperRepository; JwtSettings test key configured</t>
        </is>
      </c>
      <c r="F7" s="5" t="inlineStr">
        <is>
          <t>Mock repository to return no user row; call LoginAsync with unknown email; assert null</t>
        </is>
      </c>
      <c r="G7" s="5" t="inlineStr">
        <is>
          <t>email = 'nonexistent@test.com', password = 'Password123!'</t>
        </is>
      </c>
      <c r="H7" s="5" t="inlineStr">
        <is>
          <t>LoginAsync returns null (no token issued)</t>
        </is>
      </c>
      <c r="I7" s="5" t="inlineStr">
        <is>
          <t>As expected - test passed</t>
        </is>
      </c>
      <c r="J7" s="5" t="inlineStr">
        <is>
          <t>Passed</t>
        </is>
      </c>
      <c r="K7" s="5" t="inlineStr">
        <is>
          <t>Automated (xUnit)</t>
        </is>
      </c>
      <c r="L7" s="5" t="inlineStr"/>
      <c r="M7" s="5" t="inlineStr">
        <is>
          <t>Test: backend/API.Tests/AuthServiceTests.cs</t>
        </is>
      </c>
    </row>
    <row r="8" ht="49.5" customHeight="1">
      <c r="A8" s="4" t="inlineStr">
        <is>
          <t>UT-BE-05</t>
        </is>
      </c>
      <c r="B8" s="4" t="inlineStr">
        <is>
          <t>REQ-21</t>
        </is>
      </c>
      <c r="C8" s="4" t="inlineStr">
        <is>
          <t>AuthService (BAL)</t>
        </is>
      </c>
      <c r="D8" s="4" t="inlineStr">
        <is>
          <t>LoginAsync_WrongPassword_ReturnsNull | Verify login with a wrong password returns null</t>
        </is>
      </c>
      <c r="E8" s="4" t="inlineStr">
        <is>
          <t>Mocked IHttpClientFactory / IDapperRepository; JwtSettings test key configured</t>
        </is>
      </c>
      <c r="F8" s="4" t="inlineStr">
        <is>
          <t>Mock a user row with dummy hash/salt; call LoginAsync with a wrong password; assert null</t>
        </is>
      </c>
      <c r="G8" s="4" t="inlineStr">
        <is>
          <t>email = 'user@test.com', password = 'wrongpassword'</t>
        </is>
      </c>
      <c r="H8" s="4" t="inlineStr">
        <is>
          <t>LoginAsync returns null (password hash mismatch)</t>
        </is>
      </c>
      <c r="I8" s="4" t="inlineStr">
        <is>
          <t>As expected - test passed</t>
        </is>
      </c>
      <c r="J8" s="4" t="inlineStr">
        <is>
          <t>Passed</t>
        </is>
      </c>
      <c r="K8" s="4" t="inlineStr">
        <is>
          <t>Automated (xUnit)</t>
        </is>
      </c>
      <c r="L8" s="4" t="inlineStr"/>
      <c r="M8" s="4" t="inlineStr">
        <is>
          <t>Test: backend/API.Tests/AuthServiceTests.cs</t>
        </is>
      </c>
    </row>
    <row r="9" ht="49.5" customHeight="1">
      <c r="A9" s="5" t="inlineStr">
        <is>
          <t>UT-BE-06</t>
        </is>
      </c>
      <c r="B9" s="5" t="inlineStr">
        <is>
          <t>REQ-21</t>
        </is>
      </c>
      <c r="C9" s="5" t="inlineStr">
        <is>
          <t>AuthService (BAL)</t>
        </is>
      </c>
      <c r="D9" s="5" t="inlineStr">
        <is>
          <t>LoginAsync_AdminBackdoor_ReturnsToken | Verify admin backdoor login issues a JWT token</t>
        </is>
      </c>
      <c r="E9" s="5" t="inlineStr">
        <is>
          <t>Mocked IHttpClientFactory / IDapperRepository; JwtSettings test key configured</t>
        </is>
      </c>
      <c r="F9" s="5" t="inlineStr">
        <is>
          <t>Mock an admin user row with empty privileges; call LoginAsync('admin'); assert token and user email</t>
        </is>
      </c>
      <c r="G9" s="5" t="inlineStr">
        <is>
          <t>email = 'admin', password = 'Password123!'</t>
        </is>
      </c>
      <c r="H9" s="5" t="inlineStr">
        <is>
          <t>Result not null; Token not null; User.Email == 'admin@tahdco.in'</t>
        </is>
      </c>
      <c r="I9" s="5" t="inlineStr">
        <is>
          <t>As expected - test passed</t>
        </is>
      </c>
      <c r="J9" s="5" t="inlineStr">
        <is>
          <t>Passed</t>
        </is>
      </c>
      <c r="K9" s="5" t="inlineStr">
        <is>
          <t>Automated (xUnit)</t>
        </is>
      </c>
      <c r="L9" s="5" t="inlineStr"/>
      <c r="M9" s="5" t="inlineStr">
        <is>
          <t>Test: backend/API.Tests/AuthServiceTests.cs</t>
        </is>
      </c>
    </row>
    <row r="10" ht="64" customHeight="1">
      <c r="A10" s="4" t="inlineStr">
        <is>
          <t>UT-BE-07</t>
        </is>
      </c>
      <c r="B10" s="4" t="inlineStr">
        <is>
          <t>REQ-10</t>
        </is>
      </c>
      <c r="C10" s="4" t="inlineStr">
        <is>
          <t>IngestionController (API)</t>
        </is>
      </c>
      <c r="D10" s="4" t="inlineStr">
        <is>
          <t>TriggerSync_ReturnsOkResult_WithSyncResult | Verify the sync-trigger endpoint returns OK with the sync result payload</t>
        </is>
      </c>
      <c r="E10" s="4" t="inlineStr">
        <is>
          <t>Mocked IHttpClientFactory / IDapperRepository; JwtSettings test key configured</t>
        </is>
      </c>
      <c r="F10" s="4" t="inlineStr">
        <is>
          <t>Mock IUnifiedIngestionService.SyncAllProjectApisAsync to return Success=true with 100 records; call controller.TriggerSync(); assert OK result</t>
        </is>
      </c>
      <c r="G10" s="4" t="inlineStr">
        <is>
          <t>UnifiedIngestionSyncResultDto { Success = true, TotalRecordsIngested = 100 }</t>
        </is>
      </c>
      <c r="H10" s="4" t="inlineStr">
        <is>
          <t>OkObjectResult returned; body.Success is true; TotalRecordsIngested == 100</t>
        </is>
      </c>
      <c r="I10" s="4" t="inlineStr">
        <is>
          <t>As expected - test passed</t>
        </is>
      </c>
      <c r="J10" s="4" t="inlineStr">
        <is>
          <t>Passed</t>
        </is>
      </c>
      <c r="K10" s="4" t="inlineStr">
        <is>
          <t>Automated (xUnit)</t>
        </is>
      </c>
      <c r="L10" s="4" t="inlineStr"/>
      <c r="M10" s="4" t="inlineStr">
        <is>
          <t>Test: backend/API.Tests/DashboardControllerTests.cs</t>
        </is>
      </c>
    </row>
    <row r="11" ht="49.5" customHeight="1">
      <c r="A11" s="5" t="inlineStr">
        <is>
          <t>UT-BE-08</t>
        </is>
      </c>
      <c r="B11" s="5" t="inlineStr">
        <is>
          <t>REQ-10</t>
        </is>
      </c>
      <c r="C11" s="5" t="inlineStr">
        <is>
          <t>IngestionController (API)</t>
        </is>
      </c>
      <c r="D11" s="5" t="inlineStr">
        <is>
          <t>GetIngestionStatus_ReturnsOkResult | Verify the ingestion-status endpoint returns OK with the status payload</t>
        </is>
      </c>
      <c r="E11" s="5" t="inlineStr">
        <is>
          <t>Mocked IHttpClientFactory / IDapperRepository; JwtSettings test key configured</t>
        </is>
      </c>
      <c r="F11" s="5" t="inlineStr">
        <is>
          <t>Mock GetIngestionStatusAsync to return a success result; call controller.GetStatus(); assert OK</t>
        </is>
      </c>
      <c r="G11" s="5" t="inlineStr">
        <is>
          <t>UnifiedIngestionSyncResultDto { Success = true }</t>
        </is>
      </c>
      <c r="H11" s="5" t="inlineStr">
        <is>
          <t>OkObjectResult returned; body equals the mocked status result</t>
        </is>
      </c>
      <c r="I11" s="5" t="inlineStr">
        <is>
          <t>As expected - test passed</t>
        </is>
      </c>
      <c r="J11" s="5" t="inlineStr">
        <is>
          <t>Passed</t>
        </is>
      </c>
      <c r="K11" s="5" t="inlineStr">
        <is>
          <t>Automated (xUnit)</t>
        </is>
      </c>
      <c r="L11" s="5" t="inlineStr"/>
      <c r="M11" s="5" t="inlineStr">
        <is>
          <t>Test: backend/API.Tests/DashboardControllerTests.cs</t>
        </is>
      </c>
    </row>
    <row r="12" ht="49.5" customHeight="1">
      <c r="A12" s="4" t="inlineStr">
        <is>
          <t>UT-BE-09</t>
        </is>
      </c>
      <c r="B12" s="4" t="inlineStr"/>
      <c r="C12" s="4" t="inlineStr">
        <is>
          <t>UnitTest1 (API.Tests)</t>
        </is>
      </c>
      <c r="D12" s="4" t="inlineStr">
        <is>
          <t>Test1 | Placeholder test generated with the test project - no assertions</t>
        </is>
      </c>
      <c r="E12" s="4" t="inlineStr">
        <is>
          <t>Mocked IHttpClientFactory / IDapperRepository; JwtSettings test key configured</t>
        </is>
      </c>
      <c r="F12" s="4" t="inlineStr">
        <is>
          <t>Run Test1()</t>
        </is>
      </c>
      <c r="G12" s="4" t="inlineStr">
        <is>
          <t>No test data</t>
        </is>
      </c>
      <c r="H12" s="4" t="inlineStr">
        <is>
          <t>Test completes without error</t>
        </is>
      </c>
      <c r="I12" s="4" t="inlineStr">
        <is>
          <t>As expected - test passed</t>
        </is>
      </c>
      <c r="J12" s="4" t="inlineStr">
        <is>
          <t>Passed</t>
        </is>
      </c>
      <c r="K12" s="4" t="inlineStr">
        <is>
          <t>Automated (xUnit)</t>
        </is>
      </c>
      <c r="L12" s="4" t="inlineStr"/>
      <c r="M12" s="4" t="inlineStr">
        <is>
          <t>Test: backend/API.Tests/UnitTest1.cs; Placeholder - not linked to any requirement</t>
        </is>
      </c>
    </row>
    <row r="13" ht="64" customHeight="1">
      <c r="A13" s="5" t="inlineStr">
        <is>
          <t>UT-FE-01</t>
        </is>
      </c>
      <c r="B13" s="5" t="inlineStr">
        <is>
          <t>REQ-01</t>
        </is>
      </c>
      <c r="C13" s="5" t="inlineStr">
        <is>
          <t>Executive MD Dashboard (DashboardMdComponent)</t>
        </is>
      </c>
      <c r="D13" s="5" t="inlineStr">
        <is>
          <t>Component initializes successfully</t>
        </is>
      </c>
      <c r="E13" s="5" t="inlineStr">
        <is>
          <t>TestBed with HttpClientTestingModule + mocked DataService/AuthService; component instantiated</t>
        </is>
      </c>
      <c r="F13" s="5" t="inlineStr">
        <is>
          <t>Instantiate component via TestBed with mocked DataService/AuthService and detect changes</t>
        </is>
      </c>
      <c r="G13" s="5" t="inlineStr">
        <is>
          <t>Mocked service responses</t>
        </is>
      </c>
      <c r="H13" s="5" t="inlineStr">
        <is>
          <t>Component instance is created (toBeTruthy)</t>
        </is>
      </c>
      <c r="I13" s="5" t="inlineStr">
        <is>
          <t>As expected - test passed</t>
        </is>
      </c>
      <c r="J13" s="5" t="inlineStr">
        <is>
          <t>Passed</t>
        </is>
      </c>
      <c r="K13" s="5" t="inlineStr">
        <is>
          <t>Automated (Jasmine/Karma)</t>
        </is>
      </c>
      <c r="L13" s="5" t="inlineStr"/>
      <c r="M13" s="5" t="inlineStr">
        <is>
          <t>Spec: frontend/src/app/modules/dashboard-md/dashboard-md.component.spec.ts</t>
        </is>
      </c>
    </row>
    <row r="14" ht="64" customHeight="1">
      <c r="A14" s="4" t="inlineStr">
        <is>
          <t>UT-FE-02</t>
        </is>
      </c>
      <c r="B14" s="4" t="inlineStr">
        <is>
          <t>REQ-01</t>
        </is>
      </c>
      <c r="C14" s="4" t="inlineStr">
        <is>
          <t>Executive MD Dashboard (DashboardMdComponent)</t>
        </is>
      </c>
      <c r="D14" s="4" t="inlineStr">
        <is>
          <t>Default tab is Engineering (eng)</t>
        </is>
      </c>
      <c r="E14" s="4" t="inlineStr">
        <is>
          <t>TestBed with HttpClientTestingModule + mocked DataService/AuthService; component instantiated</t>
        </is>
      </c>
      <c r="F14" s="4" t="inlineStr">
        <is>
          <t>Create component and read activeTab</t>
        </is>
      </c>
      <c r="G14" s="4" t="inlineStr">
        <is>
          <t>No user interaction</t>
        </is>
      </c>
      <c r="H14" s="4" t="inlineStr">
        <is>
          <t>activeTab is 'eng'</t>
        </is>
      </c>
      <c r="I14" s="4" t="inlineStr">
        <is>
          <t>As expected - test passed</t>
        </is>
      </c>
      <c r="J14" s="4" t="inlineStr">
        <is>
          <t>Passed</t>
        </is>
      </c>
      <c r="K14" s="4" t="inlineStr">
        <is>
          <t>Automated (Jasmine/Karma)</t>
        </is>
      </c>
      <c r="L14" s="4" t="inlineStr"/>
      <c r="M14" s="4" t="inlineStr">
        <is>
          <t>Spec: frontend/src/app/modules/dashboard-md/dashboard-md.component.spec.ts</t>
        </is>
      </c>
    </row>
    <row r="15" ht="64" customHeight="1">
      <c r="A15" s="5" t="inlineStr">
        <is>
          <t>UT-FE-03</t>
        </is>
      </c>
      <c r="B15" s="5" t="inlineStr">
        <is>
          <t>REQ-13</t>
        </is>
      </c>
      <c r="C15" s="5" t="inlineStr">
        <is>
          <t>Executive MD Dashboard (DashboardMdComponent)</t>
        </is>
      </c>
      <c r="D15" s="5" t="inlineStr">
        <is>
          <t>Clicking a TIPS cell calls the works API with the correct payload</t>
        </is>
      </c>
      <c r="E15" s="5" t="inlineStr">
        <is>
          <t>TestBed with HttpClientTestingModule + mocked DataService/AuthService; component instantiated</t>
        </is>
      </c>
      <c r="F15" s="5" t="inlineStr">
        <is>
          <t>Call openDetailList('tips', dummyRow, 'In-progress') and assert the DataService call</t>
        </is>
      </c>
      <c r="G15" s="5" t="inlineStr">
        <is>
          <t>row = {district: 'Chennai', division: 'Chennai', col1: 10, col2: 5, col3: 5}; status 'In-progress'</t>
        </is>
      </c>
      <c r="H15" s="5" t="inlineStr">
        <is>
          <t>getOneDashboardWorkList called with ('work', ['Chennai'], ['In-progress'], ['2026'], '', 'Chennai')</t>
        </is>
      </c>
      <c r="I15" s="5" t="inlineStr">
        <is>
          <t>As expected - test passed</t>
        </is>
      </c>
      <c r="J15" s="5" t="inlineStr">
        <is>
          <t>Passed</t>
        </is>
      </c>
      <c r="K15" s="5" t="inlineStr">
        <is>
          <t>Automated (Jasmine/Karma)</t>
        </is>
      </c>
      <c r="L15" s="5" t="inlineStr"/>
      <c r="M15" s="5" t="inlineStr">
        <is>
          <t>Spec: frontend/src/app/modules/dashboard-md/dashboard-md.component.spec.ts</t>
        </is>
      </c>
    </row>
    <row r="16" ht="64" customHeight="1">
      <c r="A16" s="4" t="inlineStr">
        <is>
          <t>UT-FE-04</t>
        </is>
      </c>
      <c r="B16" s="4" t="inlineStr">
        <is>
          <t>REQ-13</t>
        </is>
      </c>
      <c r="C16" s="4" t="inlineStr">
        <is>
          <t>Executive MD Dashboard (DashboardMdComponent)</t>
        </is>
      </c>
      <c r="D16" s="4" t="inlineStr">
        <is>
          <t>Clicking a TIME cell calls the MBook API with the correct payload</t>
        </is>
      </c>
      <c r="E16" s="4" t="inlineStr">
        <is>
          <t>TestBed with HttpClientTestingModule + mocked DataService/AuthService; component instantiated</t>
        </is>
      </c>
      <c r="F16" s="4" t="inlineStr">
        <is>
          <t>Call openDetailList('time', dummyRow, 'Saved as Mbooknotuploaded') and assert the DataService call</t>
        </is>
      </c>
      <c r="G16" s="4" t="inlineStr">
        <is>
          <t>row = {district: 'Chennai', division: 'Chennai', col4: 10, col5: 5, col6: 5}; status 'Saved as Mbooknotuploaded'</t>
        </is>
      </c>
      <c r="H16" s="4" t="inlineStr">
        <is>
          <t>getOneDashboardWorkList called with ('mbook', ['Chennai'], ['Saved as Mbooknotuploaded'], ['2026'], '', 'Chennai')</t>
        </is>
      </c>
      <c r="I16" s="4" t="inlineStr">
        <is>
          <t>As expected - test passed</t>
        </is>
      </c>
      <c r="J16" s="4" t="inlineStr">
        <is>
          <t>Passed</t>
        </is>
      </c>
      <c r="K16" s="4" t="inlineStr">
        <is>
          <t>Automated (Jasmine/Karma)</t>
        </is>
      </c>
      <c r="L16" s="4" t="inlineStr"/>
      <c r="M16" s="4" t="inlineStr">
        <is>
          <t>Spec: frontend/src/app/modules/dashboard-md/dashboard-md.component.spec.ts</t>
        </is>
      </c>
    </row>
    <row r="17" ht="64" customHeight="1">
      <c r="A17" s="5" t="inlineStr">
        <is>
          <t>UT-FE-05</t>
        </is>
      </c>
      <c r="B17" s="5" t="inlineStr">
        <is>
          <t>REQ-13</t>
        </is>
      </c>
      <c r="C17" s="5" t="inlineStr">
        <is>
          <t>Executive MD Dashboard (DashboardMdComponent)</t>
        </is>
      </c>
      <c r="D17" s="5" t="inlineStr">
        <is>
          <t>Clicking a PATROL cell passes the camera status filter</t>
        </is>
      </c>
      <c r="E17" s="5" t="inlineStr">
        <is>
          <t>TestBed with HttpClientTestingModule + mocked DataService/AuthService; component instantiated</t>
        </is>
      </c>
      <c r="F17" s="5" t="inlineStr">
        <is>
          <t>Call openDetailList('patrol', dummyRow, 'Live') and assert the DataService call</t>
        </is>
      </c>
      <c r="G17" s="5" t="inlineStr">
        <is>
          <t>row = {district: 'Chennai', division: 'Chennai', col1: 10, col2: 5}; status 'Live'</t>
        </is>
      </c>
      <c r="H17" s="5" t="inlineStr">
        <is>
          <t>getOneDashboardWorkList called with ('work', ['Chennai'], [], ['2026'], 'Live', 'Chennai')</t>
        </is>
      </c>
      <c r="I17" s="5" t="inlineStr">
        <is>
          <t>As expected - test passed</t>
        </is>
      </c>
      <c r="J17" s="5" t="inlineStr">
        <is>
          <t>Passed</t>
        </is>
      </c>
      <c r="K17" s="5" t="inlineStr">
        <is>
          <t>Automated (Jasmine/Karma)</t>
        </is>
      </c>
      <c r="L17" s="5" t="inlineStr"/>
      <c r="M17" s="5" t="inlineStr">
        <is>
          <t>Spec: frontend/src/app/modules/dashboard-md/dashboard-md.component.spec.ts</t>
        </is>
      </c>
    </row>
    <row r="18" ht="64" customHeight="1">
      <c r="A18" s="4" t="inlineStr">
        <is>
          <t>UT-FE-06</t>
        </is>
      </c>
      <c r="B18" s="4" t="inlineStr">
        <is>
          <t>REQ-13</t>
        </is>
      </c>
      <c r="C18" s="4" t="inlineStr">
        <is>
          <t>Executive MD Dashboard (DashboardMdComponent)</t>
        </is>
      </c>
      <c r="D18" s="4" t="inlineStr">
        <is>
          <t>Clicking a THMS cell opens the beneficiary list with the stage filter</t>
        </is>
      </c>
      <c r="E18" s="4" t="inlineStr">
        <is>
          <t>TestBed with HttpClientTestingModule + mocked DataService/AuthService; component instantiated</t>
        </is>
      </c>
      <c r="F18" s="4" t="inlineStr">
        <is>
          <t>Call openDetailList('thms', dummyRow, 'Not Started') and assert the DataService call</t>
        </is>
      </c>
      <c r="G18" s="4" t="inlineStr">
        <is>
          <t>row = {district: 'Chennai', division: 'Chennai', col1: 10, col3: 5}; status 'Not Started'</t>
        </is>
      </c>
      <c r="H18" s="4" t="inlineStr">
        <is>
          <t>getThmsBenList called with ('Chennai', '', 'Not Started')</t>
        </is>
      </c>
      <c r="I18" s="4" t="inlineStr">
        <is>
          <t>As expected - test passed</t>
        </is>
      </c>
      <c r="J18" s="4" t="inlineStr">
        <is>
          <t>Passed</t>
        </is>
      </c>
      <c r="K18" s="4" t="inlineStr">
        <is>
          <t>Automated (Jasmine/Karma)</t>
        </is>
      </c>
      <c r="L18" s="4" t="inlineStr"/>
      <c r="M18" s="4" t="inlineStr">
        <is>
          <t>Spec: frontend/src/app/modules/dashboard-md/dashboard-md.component.spec.ts</t>
        </is>
      </c>
    </row>
    <row r="19" ht="64" customHeight="1">
      <c r="A19" s="5" t="inlineStr">
        <is>
          <t>UT-FE-07</t>
        </is>
      </c>
      <c r="B19" s="5" t="inlineStr">
        <is>
          <t>REQ-01</t>
        </is>
      </c>
      <c r="C19" s="5" t="inlineStr">
        <is>
          <t>Overview Dashboard (DashboardComponent)</t>
        </is>
      </c>
      <c r="D19" s="5" t="inlineStr">
        <is>
          <t>Component initializes successfully</t>
        </is>
      </c>
      <c r="E19" s="5" t="inlineStr">
        <is>
          <t>TestBed with HttpClientTestingModule + mocked DataService/AuthService; component instantiated</t>
        </is>
      </c>
      <c r="F19" s="5" t="inlineStr">
        <is>
          <t>Instantiate component via TestBed with mocked DataService and detect changes</t>
        </is>
      </c>
      <c r="G19" s="5" t="inlineStr">
        <is>
          <t>Mocked service responses</t>
        </is>
      </c>
      <c r="H19" s="5" t="inlineStr">
        <is>
          <t>Component instance is created (toBeTruthy)</t>
        </is>
      </c>
      <c r="I19" s="5" t="inlineStr">
        <is>
          <t>As expected - test passed</t>
        </is>
      </c>
      <c r="J19" s="5" t="inlineStr">
        <is>
          <t>Passed</t>
        </is>
      </c>
      <c r="K19" s="5" t="inlineStr">
        <is>
          <t>Automated (Jasmine/Karma)</t>
        </is>
      </c>
      <c r="L19" s="5" t="inlineStr"/>
      <c r="M19" s="5" t="inlineStr">
        <is>
          <t>Spec: frontend/src/app/modules/dashboard/dashboard.component.spec.ts</t>
        </is>
      </c>
    </row>
    <row r="20" ht="64" customHeight="1">
      <c r="A20" s="4" t="inlineStr">
        <is>
          <t>UT-FE-08</t>
        </is>
      </c>
      <c r="B20" s="4" t="inlineStr">
        <is>
          <t>REQ-01</t>
        </is>
      </c>
      <c r="C20" s="4" t="inlineStr">
        <is>
          <t>Overview Dashboard (DashboardComponent)</t>
        </is>
      </c>
      <c r="D20" s="4" t="inlineStr">
        <is>
          <t>KPI numbers are formatted with K/L suffixes</t>
        </is>
      </c>
      <c r="E20" s="4" t="inlineStr">
        <is>
          <t>TestBed with HttpClientTestingModule + mocked DataService/AuthService; component instantiated</t>
        </is>
      </c>
      <c r="F20" s="4" t="inlineStr">
        <is>
          <t>Call formatNum(500), formatNum(1500), formatNum(150000)</t>
        </is>
      </c>
      <c r="G20" s="4" t="inlineStr">
        <is>
          <t>500, 1500, 150000</t>
        </is>
      </c>
      <c r="H20" s="4" t="inlineStr">
        <is>
          <t>Returns '500', '1.5K', '1.5L'</t>
        </is>
      </c>
      <c r="I20" s="4" t="inlineStr">
        <is>
          <t>As expected - test passed</t>
        </is>
      </c>
      <c r="J20" s="4" t="inlineStr">
        <is>
          <t>Passed</t>
        </is>
      </c>
      <c r="K20" s="4" t="inlineStr">
        <is>
          <t>Automated (Jasmine/Karma)</t>
        </is>
      </c>
      <c r="L20" s="4" t="inlineStr"/>
      <c r="M20" s="4" t="inlineStr">
        <is>
          <t>Spec: frontend/src/app/modules/dashboard/dashboard.component.spec.ts</t>
        </is>
      </c>
    </row>
    <row r="21" ht="64" customHeight="1">
      <c r="A21" s="5" t="inlineStr">
        <is>
          <t>UT-FE-09</t>
        </is>
      </c>
      <c r="B21" s="5" t="inlineStr">
        <is>
          <t>REQ-01</t>
        </is>
      </c>
      <c r="C21" s="5" t="inlineStr">
        <is>
          <t>Overview Dashboard (DashboardComponent)</t>
        </is>
      </c>
      <c r="D21" s="5" t="inlineStr">
        <is>
          <t>List rendering tracks by index</t>
        </is>
      </c>
      <c r="E21" s="5" t="inlineStr">
        <is>
          <t>TestBed with HttpClientTestingModule + mocked DataService/AuthService; component instantiated</t>
        </is>
      </c>
      <c r="F21" s="5" t="inlineStr">
        <is>
          <t>Call trackByIndex(0)</t>
        </is>
      </c>
      <c r="G21" s="5" t="inlineStr">
        <is>
          <t>index = 0</t>
        </is>
      </c>
      <c r="H21" s="5" t="inlineStr">
        <is>
          <t>Returns 0</t>
        </is>
      </c>
      <c r="I21" s="5" t="inlineStr">
        <is>
          <t>As expected - test passed</t>
        </is>
      </c>
      <c r="J21" s="5" t="inlineStr">
        <is>
          <t>Passed</t>
        </is>
      </c>
      <c r="K21" s="5" t="inlineStr">
        <is>
          <t>Automated (Jasmine/Karma)</t>
        </is>
      </c>
      <c r="L21" s="5" t="inlineStr"/>
      <c r="M21" s="5" t="inlineStr">
        <is>
          <t>Spec: frontend/src/app/modules/dashboard/dashboard.component.spec.ts</t>
        </is>
      </c>
    </row>
    <row r="22" ht="64" customHeight="1">
      <c r="A22" s="4" t="inlineStr">
        <is>
          <t>UT-FE-10</t>
        </is>
      </c>
      <c r="B22" s="4" t="inlineStr">
        <is>
          <t>REQ-21</t>
        </is>
      </c>
      <c r="C22" s="4" t="inlineStr">
        <is>
          <t>Login / Authentication (LoginComponent)</t>
        </is>
      </c>
      <c r="D22" s="4" t="inlineStr">
        <is>
          <t>Component initializes successfully</t>
        </is>
      </c>
      <c r="E22" s="4" t="inlineStr">
        <is>
          <t>TestBed with HttpClientTestingModule + mocked DataService/AuthService; component instantiated</t>
        </is>
      </c>
      <c r="F22" s="4" t="inlineStr">
        <is>
          <t>Instantiate component via TestBed with mocked AuthService/Router and detect changes</t>
        </is>
      </c>
      <c r="G22" s="4" t="inlineStr">
        <is>
          <t>Mocked auth/router services</t>
        </is>
      </c>
      <c r="H22" s="4" t="inlineStr">
        <is>
          <t>Component instance is created (toBeTruthy)</t>
        </is>
      </c>
      <c r="I22" s="4" t="inlineStr">
        <is>
          <t>As expected - test passed</t>
        </is>
      </c>
      <c r="J22" s="4" t="inlineStr">
        <is>
          <t>Passed</t>
        </is>
      </c>
      <c r="K22" s="4" t="inlineStr">
        <is>
          <t>Automated (Jasmine/Karma)</t>
        </is>
      </c>
      <c r="L22" s="4" t="inlineStr"/>
      <c r="M22" s="4" t="inlineStr">
        <is>
          <t>Spec: frontend/src/app/modules/login/login.component.spec.ts</t>
        </is>
      </c>
    </row>
    <row r="23" ht="64" customHeight="1">
      <c r="A23" s="5" t="inlineStr">
        <is>
          <t>UT-FE-11</t>
        </is>
      </c>
      <c r="B23" s="5" t="inlineStr">
        <is>
          <t>REQ-21</t>
        </is>
      </c>
      <c r="C23" s="5" t="inlineStr">
        <is>
          <t>Login / Authentication (LoginComponent)</t>
        </is>
      </c>
      <c r="D23" s="5" t="inlineStr">
        <is>
          <t>Password visibility toggles</t>
        </is>
      </c>
      <c r="E23" s="5" t="inlineStr">
        <is>
          <t>TestBed with HttpClientTestingModule + mocked DataService/AuthService; component instantiated</t>
        </is>
      </c>
      <c r="F23" s="5" t="inlineStr">
        <is>
          <t>Toggle the showPwd flag and assert the new state</t>
        </is>
      </c>
      <c r="G23" s="5" t="inlineStr">
        <is>
          <t>showPwd = false initially</t>
        </is>
      </c>
      <c r="H23" s="5" t="inlineStr">
        <is>
          <t>showPwd is true after toggling</t>
        </is>
      </c>
      <c r="I23" s="5" t="inlineStr">
        <is>
          <t>As expected - test passed</t>
        </is>
      </c>
      <c r="J23" s="5" t="inlineStr">
        <is>
          <t>Passed</t>
        </is>
      </c>
      <c r="K23" s="5" t="inlineStr">
        <is>
          <t>Automated (Jasmine/Karma)</t>
        </is>
      </c>
      <c r="L23" s="5" t="inlineStr"/>
      <c r="M23" s="5" t="inlineStr">
        <is>
          <t>Spec: frontend/src/app/modules/login/login.component.spec.ts</t>
        </is>
      </c>
    </row>
    <row r="24" ht="64" customHeight="1">
      <c r="A24" s="4" t="inlineStr">
        <is>
          <t>UT-FE-12</t>
        </is>
      </c>
      <c r="B24" s="4" t="inlineStr">
        <is>
          <t>REQ-21</t>
        </is>
      </c>
      <c r="C24" s="4" t="inlineStr">
        <is>
          <t>Login / Authentication (LoginComponent)</t>
        </is>
      </c>
      <c r="D24" s="4" t="inlineStr">
        <is>
          <t>Auth service is not called for an invalid form</t>
        </is>
      </c>
      <c r="E24" s="4" t="inlineStr">
        <is>
          <t>TestBed with HttpClientTestingModule + mocked DataService/AuthService; component instantiated</t>
        </is>
      </c>
      <c r="F24" s="4" t="inlineStr">
        <is>
          <t>Patch the form with empty credentials and call submit()</t>
        </is>
      </c>
      <c r="G24" s="4" t="inlineStr">
        <is>
          <t>email = '', password = ''</t>
        </is>
      </c>
      <c r="H24" s="4" t="inlineStr">
        <is>
          <t>authService.login is not called</t>
        </is>
      </c>
      <c r="I24" s="4" t="inlineStr">
        <is>
          <t>As expected - test passed</t>
        </is>
      </c>
      <c r="J24" s="4" t="inlineStr">
        <is>
          <t>Passed</t>
        </is>
      </c>
      <c r="K24" s="4" t="inlineStr">
        <is>
          <t>Automated (Jasmine/Karma)</t>
        </is>
      </c>
      <c r="L24" s="4" t="inlineStr"/>
      <c r="M24" s="4" t="inlineStr">
        <is>
          <t>Spec: frontend/src/app/modules/login/login.component.spec.ts</t>
        </is>
      </c>
    </row>
    <row r="25" ht="64" customHeight="1">
      <c r="A25" s="5" t="inlineStr">
        <is>
          <t>UT-FE-13</t>
        </is>
      </c>
      <c r="B25" s="5" t="inlineStr">
        <is>
          <t>REQ-21</t>
        </is>
      </c>
      <c r="C25" s="5" t="inlineStr">
        <is>
          <t>Login / Authentication (LoginComponent)</t>
        </is>
      </c>
      <c r="D25" s="5" t="inlineStr">
        <is>
          <t>Successful login navigates to the return URL</t>
        </is>
      </c>
      <c r="E25" s="5" t="inlineStr">
        <is>
          <t>TestBed with HttpClientTestingModule + mocked DataService/AuthService; component instantiated</t>
        </is>
      </c>
      <c r="F25" s="5" t="inlineStr">
        <is>
          <t>Patch valid credentials; mock login to return a token + user; call submit() and tick</t>
        </is>
      </c>
      <c r="G25" s="5" t="inlineStr">
        <is>
          <t>admin@tahdco.in / Password123!</t>
        </is>
      </c>
      <c r="H25" s="5" t="inlineStr">
        <is>
          <t>login called; router.navigateByUrl('/overview'); loading is false</t>
        </is>
      </c>
      <c r="I25" s="5" t="inlineStr">
        <is>
          <t>As expected - test passed</t>
        </is>
      </c>
      <c r="J25" s="5" t="inlineStr">
        <is>
          <t>Passed</t>
        </is>
      </c>
      <c r="K25" s="5" t="inlineStr">
        <is>
          <t>Automated (Jasmine/Karma)</t>
        </is>
      </c>
      <c r="L25" s="5" t="inlineStr"/>
      <c r="M25" s="5" t="inlineStr">
        <is>
          <t>Spec: frontend/src/app/modules/login/login.component.spec.ts</t>
        </is>
      </c>
    </row>
    <row r="26" ht="64" customHeight="1">
      <c r="A26" s="4" t="inlineStr">
        <is>
          <t>UT-FE-14</t>
        </is>
      </c>
      <c r="B26" s="4" t="inlineStr">
        <is>
          <t>REQ-21</t>
        </is>
      </c>
      <c r="C26" s="4" t="inlineStr">
        <is>
          <t>Login / Authentication (LoginComponent)</t>
        </is>
      </c>
      <c r="D26" s="4" t="inlineStr">
        <is>
          <t>Invalid credentials show an error toast</t>
        </is>
      </c>
      <c r="E26" s="4" t="inlineStr">
        <is>
          <t>TestBed with HttpClientTestingModule + mocked DataService/AuthService; component instantiated</t>
        </is>
      </c>
      <c r="F26" s="4" t="inlineStr">
        <is>
          <t>Patch bad credentials; mock login to throw; call submit() and tick</t>
        </is>
      </c>
      <c r="G26" s="4" t="inlineStr">
        <is>
          <t>bad@tahdco.in / wrong</t>
        </is>
      </c>
      <c r="H26" s="4" t="inlineStr">
        <is>
          <t>Toast severity 'error' with summary 'Sign-in failed'; loading is false</t>
        </is>
      </c>
      <c r="I26" s="4" t="inlineStr">
        <is>
          <t>As expected - test passed</t>
        </is>
      </c>
      <c r="J26" s="4" t="inlineStr">
        <is>
          <t>Passed</t>
        </is>
      </c>
      <c r="K26" s="4" t="inlineStr">
        <is>
          <t>Automated (Jasmine/Karma)</t>
        </is>
      </c>
      <c r="L26" s="4" t="inlineStr"/>
      <c r="M26" s="4" t="inlineStr">
        <is>
          <t>Spec: frontend/src/app/modules/login/login.component.spec.ts</t>
        </is>
      </c>
    </row>
    <row r="27" ht="64" customHeight="1">
      <c r="A27" s="5" t="inlineStr">
        <is>
          <t>UT-FE-15</t>
        </is>
      </c>
      <c r="B27" s="5" t="inlineStr">
        <is>
          <t>REQ-22</t>
        </is>
      </c>
      <c r="C27" s="5" t="inlineStr">
        <is>
          <t>Audit Log (AuditLogComponent)</t>
        </is>
      </c>
      <c r="D27" s="5" t="inlineStr">
        <is>
          <t>Component initializes successfully</t>
        </is>
      </c>
      <c r="E27" s="5" t="inlineStr">
        <is>
          <t>TestBed with HttpClientTestingModule + mocked DataService/AuthService; component instantiated</t>
        </is>
      </c>
      <c r="F27" s="5" t="inlineStr">
        <is>
          <t>Instantiate component via TestBed and detect changes</t>
        </is>
      </c>
      <c r="G27" s="5" t="inlineStr">
        <is>
          <t>Mocked services</t>
        </is>
      </c>
      <c r="H27" s="5" t="inlineStr">
        <is>
          <t>Component instance is created (toBeTruthy)</t>
        </is>
      </c>
      <c r="I27" s="5" t="inlineStr">
        <is>
          <t>As expected - test passed</t>
        </is>
      </c>
      <c r="J27" s="5" t="inlineStr">
        <is>
          <t>Passed</t>
        </is>
      </c>
      <c r="K27" s="5" t="inlineStr">
        <is>
          <t>Automated (Jasmine/Karma)</t>
        </is>
      </c>
      <c r="L27" s="5" t="inlineStr"/>
      <c r="M27" s="5" t="inlineStr">
        <is>
          <t>Spec: frontend/src/app/modules/audit-log/audit-log.component.spec.ts</t>
        </is>
      </c>
    </row>
    <row r="28" ht="64" customHeight="1">
      <c r="A28" s="4" t="inlineStr">
        <is>
          <t>UT-FE-16</t>
        </is>
      </c>
      <c r="B28" s="4" t="inlineStr">
        <is>
          <t>REQ-22</t>
        </is>
      </c>
      <c r="C28" s="4" t="inlineStr">
        <is>
          <t>Audit Log (AuditLogComponent)</t>
        </is>
      </c>
      <c r="D28" s="4" t="inlineStr">
        <is>
          <t>Audit log entries load on init</t>
        </is>
      </c>
      <c r="E28" s="4" t="inlineStr">
        <is>
          <t>TestBed with HttpClientTestingModule + mocked DataService/AuthService; component instantiated</t>
        </is>
      </c>
      <c r="F28" s="4" t="inlineStr">
        <is>
          <t>Create the component and read auditLogs / filteredLogs</t>
        </is>
      </c>
      <c r="G28" s="4" t="inlineStr">
        <is>
          <t>Seeded mock audit entries</t>
        </is>
      </c>
      <c r="H28" s="4" t="inlineStr">
        <is>
          <t>auditLogs.length &gt; 0 and filteredLogs.length &gt; 0</t>
        </is>
      </c>
      <c r="I28" s="4" t="inlineStr">
        <is>
          <t>As expected - test passed</t>
        </is>
      </c>
      <c r="J28" s="4" t="inlineStr">
        <is>
          <t>Passed</t>
        </is>
      </c>
      <c r="K28" s="4" t="inlineStr">
        <is>
          <t>Automated (Jasmine/Karma)</t>
        </is>
      </c>
      <c r="L28" s="4" t="inlineStr"/>
      <c r="M28" s="4" t="inlineStr">
        <is>
          <t>Spec: frontend/src/app/modules/audit-log/audit-log.component.spec.ts</t>
        </is>
      </c>
    </row>
    <row r="29" ht="64" customHeight="1">
      <c r="A29" s="5" t="inlineStr">
        <is>
          <t>UT-FE-17</t>
        </is>
      </c>
      <c r="B29" s="5" t="inlineStr">
        <is>
          <t>REQ-22</t>
        </is>
      </c>
      <c r="C29" s="5" t="inlineStr">
        <is>
          <t>Audit Log (AuditLogComponent)</t>
        </is>
      </c>
      <c r="D29" s="5" t="inlineStr">
        <is>
          <t>Audit logs filter by action category</t>
        </is>
      </c>
      <c r="E29" s="5" t="inlineStr">
        <is>
          <t>TestBed with HttpClientTestingModule + mocked DataService/AuthService; component instantiated</t>
        </is>
      </c>
      <c r="F29" s="5" t="inlineStr">
        <is>
          <t>Set selectedAction = 'Scheduler' and call applyFilters()</t>
        </is>
      </c>
      <c r="G29" s="5" t="inlineStr">
        <is>
          <t>category = 'Scheduler'</t>
        </is>
      </c>
      <c r="H29" s="5" t="inlineStr">
        <is>
          <t>Every filtered log has category 'Scheduler'</t>
        </is>
      </c>
      <c r="I29" s="5" t="inlineStr">
        <is>
          <t>As expected - test passed</t>
        </is>
      </c>
      <c r="J29" s="5" t="inlineStr">
        <is>
          <t>Passed</t>
        </is>
      </c>
      <c r="K29" s="5" t="inlineStr">
        <is>
          <t>Automated (Jasmine/Karma)</t>
        </is>
      </c>
      <c r="L29" s="5" t="inlineStr"/>
      <c r="M29" s="5" t="inlineStr">
        <is>
          <t>Spec: frontend/src/app/modules/audit-log/audit-log.component.spec.ts</t>
        </is>
      </c>
    </row>
    <row r="30" ht="64" customHeight="1">
      <c r="A30" s="4" t="inlineStr">
        <is>
          <t>UT-FE-18</t>
        </is>
      </c>
      <c r="B30" s="4" t="inlineStr">
        <is>
          <t>REQ-07</t>
        </is>
      </c>
      <c r="C30" s="4" t="inlineStr">
        <is>
          <t>Welfare Board - TNCWWB (TncwwbComponent)</t>
        </is>
      </c>
      <c r="D30" s="4" t="inlineStr">
        <is>
          <t>Component initializes successfully</t>
        </is>
      </c>
      <c r="E30" s="4" t="inlineStr">
        <is>
          <t>TestBed with HttpClientTestingModule + mocked DataService/AuthService; component instantiated</t>
        </is>
      </c>
      <c r="F30" s="4" t="inlineStr">
        <is>
          <t>Instantiate component via TestBed and detect changes</t>
        </is>
      </c>
      <c r="G30" s="4" t="inlineStr">
        <is>
          <t>Mocked services</t>
        </is>
      </c>
      <c r="H30" s="4" t="inlineStr">
        <is>
          <t>Component instance is created (toBeTruthy)</t>
        </is>
      </c>
      <c r="I30" s="4" t="inlineStr">
        <is>
          <t>As expected - test passed</t>
        </is>
      </c>
      <c r="J30" s="4" t="inlineStr">
        <is>
          <t>Passed</t>
        </is>
      </c>
      <c r="K30" s="4" t="inlineStr">
        <is>
          <t>Automated (Jasmine/Karma)</t>
        </is>
      </c>
      <c r="L30" s="4" t="inlineStr"/>
      <c r="M30" s="4" t="inlineStr">
        <is>
          <t>Spec: frontend/src/app/modules/tncwwb/tncwwb.component.spec.ts</t>
        </is>
      </c>
    </row>
    <row r="31" ht="64" customHeight="1">
      <c r="A31" s="5" t="inlineStr">
        <is>
          <t>UT-FE-19</t>
        </is>
      </c>
      <c r="B31" s="5" t="inlineStr">
        <is>
          <t>REQ-07</t>
        </is>
      </c>
      <c r="C31" s="5" t="inlineStr">
        <is>
          <t>Welfare Board - TNCWWB (TncwwbComponent)</t>
        </is>
      </c>
      <c r="D31" s="5" t="inlineStr">
        <is>
          <t>Filters restore from query params</t>
        </is>
      </c>
      <c r="E31" s="5" t="inlineStr">
        <is>
          <t>TestBed with HttpClientTestingModule + mocked DataService/AuthService; component instantiated</t>
        </is>
      </c>
      <c r="F31" s="5" t="inlineStr">
        <is>
          <t>Provide ActivatedRoute queryParams and create the component</t>
        </is>
      </c>
      <c r="G31" s="5" t="inlineStr">
        <is>
          <t>district = Chennai, year = 2026, mode = list, cat = member</t>
        </is>
      </c>
      <c r="H31" s="5" t="inlineStr">
        <is>
          <t>selectedDistrict 'Chennai'; selectedFY '2026'; viewMode 'list'</t>
        </is>
      </c>
      <c r="I31" s="5" t="inlineStr">
        <is>
          <t>As expected - test passed</t>
        </is>
      </c>
      <c r="J31" s="5" t="inlineStr">
        <is>
          <t>Passed</t>
        </is>
      </c>
      <c r="K31" s="5" t="inlineStr">
        <is>
          <t>Automated (Jasmine/Karma)</t>
        </is>
      </c>
      <c r="L31" s="5" t="inlineStr"/>
      <c r="M31" s="5" t="inlineStr">
        <is>
          <t>Spec: frontend/src/app/modules/tncwwb/tncwwb.component.spec.ts; Supports REQ-14 (zero filter loss)</t>
        </is>
      </c>
    </row>
    <row r="32" ht="64" customHeight="1">
      <c r="A32" s="4" t="inlineStr">
        <is>
          <t>UT-FE-20</t>
        </is>
      </c>
      <c r="B32" s="4" t="inlineStr">
        <is>
          <t>REQ-07</t>
        </is>
      </c>
      <c r="C32" s="4" t="inlineStr">
        <is>
          <t>Welfare Board - TNCWWB (TncwwbComponent)</t>
        </is>
      </c>
      <c r="D32" s="4" t="inlineStr">
        <is>
          <t>Member list filters by district and status</t>
        </is>
      </c>
      <c r="E32" s="4" t="inlineStr">
        <is>
          <t>TestBed with HttpClientTestingModule + mocked DataService/AuthService; component instantiated</t>
        </is>
      </c>
      <c r="F32" s="4" t="inlineStr">
        <is>
          <t>Set selectedDistrict = 'Chennai' and call applyFilters()</t>
        </is>
      </c>
      <c r="G32" s="4" t="inlineStr">
        <is>
          <t>district = 'Chennai'</t>
        </is>
      </c>
      <c r="H32" s="4" t="inlineStr">
        <is>
          <t>Every filtered member has district 'Chennai'</t>
        </is>
      </c>
      <c r="I32" s="4" t="inlineStr">
        <is>
          <t>As expected - test passed</t>
        </is>
      </c>
      <c r="J32" s="4" t="inlineStr">
        <is>
          <t>Passed</t>
        </is>
      </c>
      <c r="K32" s="4" t="inlineStr">
        <is>
          <t>Automated (Jasmine/Karma)</t>
        </is>
      </c>
      <c r="L32" s="4" t="inlineStr"/>
      <c r="M32" s="4" t="inlineStr">
        <is>
          <t>Spec: frontend/src/app/modules/tncwwb/tncwwb.component.spec.ts</t>
        </is>
      </c>
    </row>
    <row r="33" ht="64" customHeight="1">
      <c r="A33" s="5" t="inlineStr">
        <is>
          <t>UT-FE-21</t>
        </is>
      </c>
      <c r="B33" s="5" t="inlineStr">
        <is>
          <t>REQ-05</t>
        </is>
      </c>
      <c r="C33" s="5" t="inlineStr">
        <is>
          <t>Welfare Schemes &amp; TELP (SchemeReportComponent)</t>
        </is>
      </c>
      <c r="D33" s="5" t="inlineStr">
        <is>
          <t>Component initializes successfully</t>
        </is>
      </c>
      <c r="E33" s="5" t="inlineStr">
        <is>
          <t>TestBed with HttpClientTestingModule + mocked DataService/AuthService; component instantiated</t>
        </is>
      </c>
      <c r="F33" s="5" t="inlineStr">
        <is>
          <t>Instantiate component via TestBed and run change detection</t>
        </is>
      </c>
      <c r="G33" s="5" t="inlineStr">
        <is>
          <t>Mocked service responses</t>
        </is>
      </c>
      <c r="H33" s="5" t="inlineStr">
        <is>
          <t>Component instance is created (toBeTruthy)</t>
        </is>
      </c>
      <c r="I33" s="5" t="inlineStr">
        <is>
          <t>As expected - test passed</t>
        </is>
      </c>
      <c r="J33" s="5" t="inlineStr">
        <is>
          <t>Passed</t>
        </is>
      </c>
      <c r="K33" s="5" t="inlineStr">
        <is>
          <t>Automated (Jasmine/Karma)</t>
        </is>
      </c>
      <c r="L33" s="5" t="inlineStr"/>
      <c r="M33" s="5" t="inlineStr">
        <is>
          <t>Spec: frontend/src/app/modules/scheme-report/scheme-report.component.spec.ts</t>
        </is>
      </c>
    </row>
    <row r="34" ht="64" customHeight="1">
      <c r="A34" s="4" t="inlineStr">
        <is>
          <t>UT-FE-22</t>
        </is>
      </c>
      <c r="B34" s="4" t="inlineStr">
        <is>
          <t>REQ-05</t>
        </is>
      </c>
      <c r="C34" s="4" t="inlineStr">
        <is>
          <t>Welfare Schemes &amp; TELP (SchemeReportComponent)</t>
        </is>
      </c>
      <c r="D34" s="4" t="inlineStr">
        <is>
          <t>Default view mode is table view</t>
        </is>
      </c>
      <c r="E34" s="4" t="inlineStr">
        <is>
          <t>TestBed with HttpClientTestingModule + mocked DataService/AuthService; component instantiated</t>
        </is>
      </c>
      <c r="F34" s="4" t="inlineStr">
        <is>
          <t>Create component and read viewMode</t>
        </is>
      </c>
      <c r="G34" s="4" t="inlineStr">
        <is>
          <t>No user interaction</t>
        </is>
      </c>
      <c r="H34" s="4" t="inlineStr">
        <is>
          <t>viewMode is 'table'</t>
        </is>
      </c>
      <c r="I34" s="4" t="inlineStr">
        <is>
          <t>As expected - test passed</t>
        </is>
      </c>
      <c r="J34" s="4" t="inlineStr">
        <is>
          <t>Passed</t>
        </is>
      </c>
      <c r="K34" s="4" t="inlineStr">
        <is>
          <t>Automated (Jasmine/Karma)</t>
        </is>
      </c>
      <c r="L34" s="4" t="inlineStr"/>
      <c r="M34" s="4" t="inlineStr">
        <is>
          <t>Spec: frontend/src/app/modules/scheme-report/scheme-report.component.spec.ts</t>
        </is>
      </c>
    </row>
    <row r="35" ht="64" customHeight="1">
      <c r="A35" s="5" t="inlineStr">
        <is>
          <t>UT-FE-23</t>
        </is>
      </c>
      <c r="B35" s="5" t="inlineStr">
        <is>
          <t>REQ-05</t>
        </is>
      </c>
      <c r="C35" s="5" t="inlineStr">
        <is>
          <t>Welfare Schemes &amp; TELP (SchemeReportComponent)</t>
        </is>
      </c>
      <c r="D35" s="5" t="inlineStr">
        <is>
          <t>User can switch to chart view</t>
        </is>
      </c>
      <c r="E35" s="5" t="inlineStr">
        <is>
          <t>TestBed with HttpClientTestingModule + mocked DataService/AuthService; component instantiated</t>
        </is>
      </c>
      <c r="F35" s="5" t="inlineStr">
        <is>
          <t>Set viewMode to 'chart'</t>
        </is>
      </c>
      <c r="G35" s="5" t="inlineStr">
        <is>
          <t>viewMode = 'chart'</t>
        </is>
      </c>
      <c r="H35" s="5" t="inlineStr">
        <is>
          <t>viewMode is 'chart'</t>
        </is>
      </c>
      <c r="I35" s="5" t="inlineStr">
        <is>
          <t>As expected - test passed</t>
        </is>
      </c>
      <c r="J35" s="5" t="inlineStr">
        <is>
          <t>Passed</t>
        </is>
      </c>
      <c r="K35" s="5" t="inlineStr">
        <is>
          <t>Automated (Jasmine/Karma)</t>
        </is>
      </c>
      <c r="L35" s="5" t="inlineStr"/>
      <c r="M35" s="5" t="inlineStr">
        <is>
          <t>Spec: frontend/src/app/modules/scheme-report/scheme-report.component.spec.ts</t>
        </is>
      </c>
    </row>
    <row r="36" ht="64" customHeight="1">
      <c r="A36" s="4" t="inlineStr">
        <is>
          <t>UT-FE-24</t>
        </is>
      </c>
      <c r="B36" s="4" t="inlineStr">
        <is>
          <t>REQ-05</t>
        </is>
      </c>
      <c r="C36" s="4" t="inlineStr">
        <is>
          <t>Welfare Schemes &amp; TELP (SchemeReportComponent)</t>
        </is>
      </c>
      <c r="D36" s="4" t="inlineStr">
        <is>
          <t>Opening a row shows the detail dialog</t>
        </is>
      </c>
      <c r="E36" s="4" t="inlineStr">
        <is>
          <t>TestBed with HttpClientTestingModule + mocked DataService/AuthService; component instantiated</t>
        </is>
      </c>
      <c r="F36" s="4" t="inlineStr">
        <is>
          <t>Call openRowDetail(row) with a sample district row</t>
        </is>
      </c>
      <c r="G36" s="4" t="inlineStr">
        <is>
          <t>row = {division: 'Chennai', district: 'Kanchipuram', value: 100}</t>
        </is>
      </c>
      <c r="H36" s="4" t="inlineStr">
        <is>
          <t>dialogVisible is true; activeRow equals the row; dialogTitle is 'Kanchipuram'</t>
        </is>
      </c>
      <c r="I36" s="4" t="inlineStr">
        <is>
          <t>As expected - test passed</t>
        </is>
      </c>
      <c r="J36" s="4" t="inlineStr">
        <is>
          <t>Passed</t>
        </is>
      </c>
      <c r="K36" s="4" t="inlineStr">
        <is>
          <t>Automated (Jasmine/Karma)</t>
        </is>
      </c>
      <c r="L36" s="4" t="inlineStr"/>
      <c r="M36" s="4" t="inlineStr">
        <is>
          <t>Spec: frontend/src/app/modules/scheme-report/scheme-report.component.spec.ts</t>
        </is>
      </c>
    </row>
    <row r="37" ht="64" customHeight="1">
      <c r="A37" s="5" t="inlineStr">
        <is>
          <t>UT-FE-25</t>
        </is>
      </c>
      <c r="B37" s="5" t="inlineStr">
        <is>
          <t>REQ-05</t>
        </is>
      </c>
      <c r="C37" s="5" t="inlineStr">
        <is>
          <t>Welfare Schemes &amp; TELP (SchemeReportComponent)</t>
        </is>
      </c>
      <c r="D37" s="5" t="inlineStr">
        <is>
          <t>Dialog closes and clears the active row</t>
        </is>
      </c>
      <c r="E37" s="5" t="inlineStr">
        <is>
          <t>TestBed with HttpClientTestingModule + mocked DataService/AuthService; component instantiated</t>
        </is>
      </c>
      <c r="F37" s="5" t="inlineStr">
        <is>
          <t>Set dialogVisible = true, then call closeDialog()</t>
        </is>
      </c>
      <c r="G37" s="5" t="inlineStr">
        <is>
          <t>dialogVisible = true</t>
        </is>
      </c>
      <c r="H37" s="5" t="inlineStr">
        <is>
          <t>dialogVisible is false; activeRow is null</t>
        </is>
      </c>
      <c r="I37" s="5" t="inlineStr">
        <is>
          <t>As expected - test passed</t>
        </is>
      </c>
      <c r="J37" s="5" t="inlineStr">
        <is>
          <t>Passed</t>
        </is>
      </c>
      <c r="K37" s="5" t="inlineStr">
        <is>
          <t>Automated (Jasmine/Karma)</t>
        </is>
      </c>
      <c r="L37" s="5" t="inlineStr"/>
      <c r="M37" s="5" t="inlineStr">
        <is>
          <t>Spec: frontend/src/app/modules/scheme-report/scheme-report.component.spec.ts</t>
        </is>
      </c>
    </row>
    <row r="38" ht="64" customHeight="1">
      <c r="A38" s="4" t="inlineStr">
        <is>
          <t>UT-FE-26</t>
        </is>
      </c>
      <c r="B38" s="4" t="inlineStr">
        <is>
          <t>REQ-05</t>
        </is>
      </c>
      <c r="C38" s="4" t="inlineStr">
        <is>
          <t>Welfare Schemes &amp; TELP (SchemeReportComponent)</t>
        </is>
      </c>
      <c r="D38" s="4" t="inlineStr">
        <is>
          <t>Default financial year is FY 2025-26</t>
        </is>
      </c>
      <c r="E38" s="4" t="inlineStr">
        <is>
          <t>TestBed with HttpClientTestingModule + mocked DataService/AuthService; component instantiated</t>
        </is>
      </c>
      <c r="F38" s="4" t="inlineStr">
        <is>
          <t>Create component and read selectedFY</t>
        </is>
      </c>
      <c r="G38" s="4" t="inlineStr">
        <is>
          <t>No user interaction</t>
        </is>
      </c>
      <c r="H38" s="4" t="inlineStr">
        <is>
          <t>selectedFY is 'FY 2025-26'</t>
        </is>
      </c>
      <c r="I38" s="4" t="inlineStr">
        <is>
          <t>As expected - test passed</t>
        </is>
      </c>
      <c r="J38" s="4" t="inlineStr">
        <is>
          <t>Passed</t>
        </is>
      </c>
      <c r="K38" s="4" t="inlineStr">
        <is>
          <t>Automated (Jasmine/Karma)</t>
        </is>
      </c>
      <c r="L38" s="4" t="inlineStr"/>
      <c r="M38" s="4" t="inlineStr">
        <is>
          <t>Spec: frontend/src/app/modules/scheme-report/scheme-report.component.spec.ts</t>
        </is>
      </c>
    </row>
    <row r="39" ht="64" customHeight="1">
      <c r="A39" s="5" t="inlineStr">
        <is>
          <t>UT-FE-27</t>
        </is>
      </c>
      <c r="B39" s="5" t="inlineStr">
        <is>
          <t>REQ-15</t>
        </is>
      </c>
      <c r="C39" s="5" t="inlineStr">
        <is>
          <t>App Shell / Navigation (ShellComponent)</t>
        </is>
      </c>
      <c r="D39" s="5" t="inlineStr">
        <is>
          <t>Component initializes successfully</t>
        </is>
      </c>
      <c r="E39" s="5" t="inlineStr">
        <is>
          <t>TestBed with HttpClientTestingModule + mocked DataService/AuthService; component instantiated</t>
        </is>
      </c>
      <c r="F39" s="5" t="inlineStr">
        <is>
          <t>Instantiate component via TestBed and detect changes</t>
        </is>
      </c>
      <c r="G39" s="5" t="inlineStr">
        <is>
          <t>Mocked services</t>
        </is>
      </c>
      <c r="H39" s="5" t="inlineStr">
        <is>
          <t>Component instance is created (toBeTruthy)</t>
        </is>
      </c>
      <c r="I39" s="5" t="inlineStr">
        <is>
          <t>As expected - test passed</t>
        </is>
      </c>
      <c r="J39" s="5" t="inlineStr">
        <is>
          <t>Passed</t>
        </is>
      </c>
      <c r="K39" s="5" t="inlineStr">
        <is>
          <t>Automated (Jasmine/Karma)</t>
        </is>
      </c>
      <c r="L39" s="5" t="inlineStr"/>
      <c r="M39" s="5" t="inlineStr">
        <is>
          <t>Spec: frontend/src/app/shared/components/shell.component.spec.ts</t>
        </is>
      </c>
    </row>
    <row r="40" ht="64" customHeight="1">
      <c r="A40" s="4" t="inlineStr">
        <is>
          <t>UT-FE-28</t>
        </is>
      </c>
      <c r="B40" s="4" t="inlineStr">
        <is>
          <t>REQ-15</t>
        </is>
      </c>
      <c r="C40" s="4" t="inlineStr">
        <is>
          <t>App Shell / Navigation (ShellComponent)</t>
        </is>
      </c>
      <c r="D40" s="4" t="inlineStr">
        <is>
          <t>Sidebar collapse toggles</t>
        </is>
      </c>
      <c r="E40" s="4" t="inlineStr">
        <is>
          <t>TestBed with HttpClientTestingModule + mocked DataService/AuthService; component instantiated</t>
        </is>
      </c>
      <c r="F40" s="4" t="inlineStr">
        <is>
          <t>Toggle the collapsed flag and assert the new state</t>
        </is>
      </c>
      <c r="G40" s="4" t="inlineStr">
        <is>
          <t>collapsed = false initially</t>
        </is>
      </c>
      <c r="H40" s="4" t="inlineStr">
        <is>
          <t>collapsed is true after toggling</t>
        </is>
      </c>
      <c r="I40" s="4" t="inlineStr">
        <is>
          <t>As expected - test passed</t>
        </is>
      </c>
      <c r="J40" s="4" t="inlineStr">
        <is>
          <t>Passed</t>
        </is>
      </c>
      <c r="K40" s="4" t="inlineStr">
        <is>
          <t>Automated (Jasmine/Karma)</t>
        </is>
      </c>
      <c r="L40" s="4" t="inlineStr"/>
      <c r="M40" s="4" t="inlineStr">
        <is>
          <t>Spec: frontend/src/app/shared/components/shell.component.spec.ts</t>
        </is>
      </c>
    </row>
    <row r="41" ht="64" customHeight="1">
      <c r="A41" s="5" t="inlineStr">
        <is>
          <t>UT-FE-29</t>
        </is>
      </c>
      <c r="B41" s="5" t="inlineStr">
        <is>
          <t>REQ-15</t>
        </is>
      </c>
      <c r="C41" s="5" t="inlineStr">
        <is>
          <t>App Shell / Navigation (ShellComponent)</t>
        </is>
      </c>
      <c r="D41" s="5" t="inlineStr">
        <is>
          <t>User initials are computed from the display name</t>
        </is>
      </c>
      <c r="E41" s="5" t="inlineStr">
        <is>
          <t>TestBed with HttpClientTestingModule + mocked DataService/AuthService; component instantiated</t>
        </is>
      </c>
      <c r="F41" s="5" t="inlineStr">
        <is>
          <t>Set user {name: 'Arjun Sharma'} and read the initials property</t>
        </is>
      </c>
      <c r="G41" s="5" t="inlineStr">
        <is>
          <t>user name = 'Arjun Sharma'</t>
        </is>
      </c>
      <c r="H41" s="5" t="inlineStr">
        <is>
          <t>initials == 'AS'</t>
        </is>
      </c>
      <c r="I41" s="5" t="inlineStr">
        <is>
          <t>As expected - test passed</t>
        </is>
      </c>
      <c r="J41" s="5" t="inlineStr">
        <is>
          <t>Passed</t>
        </is>
      </c>
      <c r="K41" s="5" t="inlineStr">
        <is>
          <t>Automated (Jasmine/Karma)</t>
        </is>
      </c>
      <c r="L41" s="5" t="inlineStr"/>
      <c r="M41" s="5" t="inlineStr">
        <is>
          <t>Spec: frontend/src/app/shared/components/shell.component.spec.ts</t>
        </is>
      </c>
    </row>
    <row r="42" ht="64" customHeight="1">
      <c r="A42" s="4" t="inlineStr">
        <is>
          <t>UT-FE-30</t>
        </is>
      </c>
      <c r="B42" s="4" t="inlineStr">
        <is>
          <t>REQ-02</t>
        </is>
      </c>
      <c r="C42" s="4" t="inlineStr">
        <is>
          <t>Engineering Tenders - TIPS (TenderComponent)</t>
        </is>
      </c>
      <c r="D42" s="4" t="inlineStr">
        <is>
          <t>Component initializes successfully</t>
        </is>
      </c>
      <c r="E42" s="4" t="inlineStr">
        <is>
          <t>TestBed with HttpClientTestingModule + mocked DataService/AuthService; component instantiated</t>
        </is>
      </c>
      <c r="F42" s="4" t="inlineStr">
        <is>
          <t>Instantiate component via TestBed and run change detection</t>
        </is>
      </c>
      <c r="G42" s="4" t="inlineStr">
        <is>
          <t>Mocked service responses</t>
        </is>
      </c>
      <c r="H42" s="4" t="inlineStr">
        <is>
          <t>Component instance is created (toBeTruthy)</t>
        </is>
      </c>
      <c r="I42" s="4" t="inlineStr">
        <is>
          <t>As expected - test passed</t>
        </is>
      </c>
      <c r="J42" s="4" t="inlineStr">
        <is>
          <t>Passed</t>
        </is>
      </c>
      <c r="K42" s="4" t="inlineStr">
        <is>
          <t>Automated (Jasmine/Karma)</t>
        </is>
      </c>
      <c r="L42" s="4" t="inlineStr"/>
      <c r="M42" s="4" t="inlineStr">
        <is>
          <t>Spec: frontend/src/app/modules/tender/tender.component.spec.ts</t>
        </is>
      </c>
    </row>
    <row r="43" ht="64" customHeight="1">
      <c r="A43" s="5" t="inlineStr">
        <is>
          <t>UT-FE-31</t>
        </is>
      </c>
      <c r="B43" s="5" t="inlineStr">
        <is>
          <t>REQ-02</t>
        </is>
      </c>
      <c r="C43" s="5" t="inlineStr">
        <is>
          <t>Engineering Tenders - TIPS (TenderComponent)</t>
        </is>
      </c>
      <c r="D43" s="5" t="inlineStr">
        <is>
          <t>Default view mode is table view</t>
        </is>
      </c>
      <c r="E43" s="5" t="inlineStr">
        <is>
          <t>TestBed with HttpClientTestingModule + mocked DataService/AuthService; component instantiated</t>
        </is>
      </c>
      <c r="F43" s="5" t="inlineStr">
        <is>
          <t>Create component and read viewMode</t>
        </is>
      </c>
      <c r="G43" s="5" t="inlineStr">
        <is>
          <t>No user interaction</t>
        </is>
      </c>
      <c r="H43" s="5" t="inlineStr">
        <is>
          <t>viewMode is 'table'</t>
        </is>
      </c>
      <c r="I43" s="5" t="inlineStr">
        <is>
          <t>As expected - test passed</t>
        </is>
      </c>
      <c r="J43" s="5" t="inlineStr">
        <is>
          <t>Passed</t>
        </is>
      </c>
      <c r="K43" s="5" t="inlineStr">
        <is>
          <t>Automated (Jasmine/Karma)</t>
        </is>
      </c>
      <c r="L43" s="5" t="inlineStr"/>
      <c r="M43" s="5" t="inlineStr">
        <is>
          <t>Spec: frontend/src/app/modules/tender/tender.component.spec.ts</t>
        </is>
      </c>
    </row>
    <row r="44" ht="64" customHeight="1">
      <c r="A44" s="4" t="inlineStr">
        <is>
          <t>UT-FE-32</t>
        </is>
      </c>
      <c r="B44" s="4" t="inlineStr">
        <is>
          <t>REQ-02</t>
        </is>
      </c>
      <c r="C44" s="4" t="inlineStr">
        <is>
          <t>Engineering Tenders - TIPS (TenderComponent)</t>
        </is>
      </c>
      <c r="D44" s="4" t="inlineStr">
        <is>
          <t>User can switch to chart view</t>
        </is>
      </c>
      <c r="E44" s="4" t="inlineStr">
        <is>
          <t>TestBed with HttpClientTestingModule + mocked DataService/AuthService; component instantiated</t>
        </is>
      </c>
      <c r="F44" s="4" t="inlineStr">
        <is>
          <t>Set viewMode to 'chart'</t>
        </is>
      </c>
      <c r="G44" s="4" t="inlineStr">
        <is>
          <t>viewMode = 'chart'</t>
        </is>
      </c>
      <c r="H44" s="4" t="inlineStr">
        <is>
          <t>viewMode is 'chart'</t>
        </is>
      </c>
      <c r="I44" s="4" t="inlineStr">
        <is>
          <t>As expected - test passed</t>
        </is>
      </c>
      <c r="J44" s="4" t="inlineStr">
        <is>
          <t>Passed</t>
        </is>
      </c>
      <c r="K44" s="4" t="inlineStr">
        <is>
          <t>Automated (Jasmine/Karma)</t>
        </is>
      </c>
      <c r="L44" s="4" t="inlineStr"/>
      <c r="M44" s="4" t="inlineStr">
        <is>
          <t>Spec: frontend/src/app/modules/tender/tender.component.spec.ts</t>
        </is>
      </c>
    </row>
    <row r="45" ht="64" customHeight="1">
      <c r="A45" s="5" t="inlineStr">
        <is>
          <t>UT-FE-33</t>
        </is>
      </c>
      <c r="B45" s="5" t="inlineStr">
        <is>
          <t>REQ-02</t>
        </is>
      </c>
      <c r="C45" s="5" t="inlineStr">
        <is>
          <t>Engineering Tenders - TIPS (TenderComponent)</t>
        </is>
      </c>
      <c r="D45" s="5" t="inlineStr">
        <is>
          <t>Opening a row shows the detail dialog</t>
        </is>
      </c>
      <c r="E45" s="5" t="inlineStr">
        <is>
          <t>TestBed with HttpClientTestingModule + mocked DataService/AuthService; component instantiated</t>
        </is>
      </c>
      <c r="F45" s="5" t="inlineStr">
        <is>
          <t>Call openRowDetail(row) with a sample district row</t>
        </is>
      </c>
      <c r="G45" s="5" t="inlineStr">
        <is>
          <t>row = {division: 'Chennai', district: 'Kanchipuram', value: 100}</t>
        </is>
      </c>
      <c r="H45" s="5" t="inlineStr">
        <is>
          <t>dialogVisible is true; activeRow equals the row; dialogTitle is 'Kanchipuram'</t>
        </is>
      </c>
      <c r="I45" s="5" t="inlineStr">
        <is>
          <t>As expected - test passed</t>
        </is>
      </c>
      <c r="J45" s="5" t="inlineStr">
        <is>
          <t>Passed</t>
        </is>
      </c>
      <c r="K45" s="5" t="inlineStr">
        <is>
          <t>Automated (Jasmine/Karma)</t>
        </is>
      </c>
      <c r="L45" s="5" t="inlineStr"/>
      <c r="M45" s="5" t="inlineStr">
        <is>
          <t>Spec: frontend/src/app/modules/tender/tender.component.spec.ts</t>
        </is>
      </c>
    </row>
    <row r="46" ht="64" customHeight="1">
      <c r="A46" s="4" t="inlineStr">
        <is>
          <t>UT-FE-34</t>
        </is>
      </c>
      <c r="B46" s="4" t="inlineStr">
        <is>
          <t>REQ-02</t>
        </is>
      </c>
      <c r="C46" s="4" t="inlineStr">
        <is>
          <t>Engineering Tenders - TIPS (TenderComponent)</t>
        </is>
      </c>
      <c r="D46" s="4" t="inlineStr">
        <is>
          <t>Dialog closes and clears the active row</t>
        </is>
      </c>
      <c r="E46" s="4" t="inlineStr">
        <is>
          <t>TestBed with HttpClientTestingModule + mocked DataService/AuthService; component instantiated</t>
        </is>
      </c>
      <c r="F46" s="4" t="inlineStr">
        <is>
          <t>Set dialogVisible = true, then call closeDialog()</t>
        </is>
      </c>
      <c r="G46" s="4" t="inlineStr">
        <is>
          <t>dialogVisible = true</t>
        </is>
      </c>
      <c r="H46" s="4" t="inlineStr">
        <is>
          <t>dialogVisible is false; activeRow is null</t>
        </is>
      </c>
      <c r="I46" s="4" t="inlineStr">
        <is>
          <t>As expected - test passed</t>
        </is>
      </c>
      <c r="J46" s="4" t="inlineStr">
        <is>
          <t>Passed</t>
        </is>
      </c>
      <c r="K46" s="4" t="inlineStr">
        <is>
          <t>Automated (Jasmine/Karma)</t>
        </is>
      </c>
      <c r="L46" s="4" t="inlineStr"/>
      <c r="M46" s="4" t="inlineStr">
        <is>
          <t>Spec: frontend/src/app/modules/tender/tender.component.spec.ts</t>
        </is>
      </c>
    </row>
    <row r="47" ht="64" customHeight="1">
      <c r="A47" s="5" t="inlineStr">
        <is>
          <t>UT-FE-35</t>
        </is>
      </c>
      <c r="B47" s="5" t="inlineStr">
        <is>
          <t>REQ-02</t>
        </is>
      </c>
      <c r="C47" s="5" t="inlineStr">
        <is>
          <t>Engineering Tenders - TIPS (TenderComponent)</t>
        </is>
      </c>
      <c r="D47" s="5" t="inlineStr">
        <is>
          <t>Default financial year is FY 2025-26</t>
        </is>
      </c>
      <c r="E47" s="5" t="inlineStr">
        <is>
          <t>TestBed with HttpClientTestingModule + mocked DataService/AuthService; component instantiated</t>
        </is>
      </c>
      <c r="F47" s="5" t="inlineStr">
        <is>
          <t>Create component and read selectedFY</t>
        </is>
      </c>
      <c r="G47" s="5" t="inlineStr">
        <is>
          <t>No user interaction</t>
        </is>
      </c>
      <c r="H47" s="5" t="inlineStr">
        <is>
          <t>selectedFY is 'FY 2025-26'</t>
        </is>
      </c>
      <c r="I47" s="5" t="inlineStr">
        <is>
          <t>As expected - test passed</t>
        </is>
      </c>
      <c r="J47" s="5" t="inlineStr">
        <is>
          <t>Passed</t>
        </is>
      </c>
      <c r="K47" s="5" t="inlineStr">
        <is>
          <t>Automated (Jasmine/Karma)</t>
        </is>
      </c>
      <c r="L47" s="5" t="inlineStr"/>
      <c r="M47" s="5" t="inlineStr">
        <is>
          <t>Spec: frontend/src/app/modules/tender/tender.component.spec.ts</t>
        </is>
      </c>
    </row>
    <row r="48" ht="64" customHeight="1">
      <c r="A48" s="4" t="inlineStr">
        <is>
          <t>UT-FE-36</t>
        </is>
      </c>
      <c r="B48" s="4" t="inlineStr">
        <is>
          <t>REQ-03</t>
        </is>
      </c>
      <c r="C48" s="4" t="inlineStr">
        <is>
          <t>Housing Scheme - THMS (HousingComponent)</t>
        </is>
      </c>
      <c r="D48" s="4" t="inlineStr">
        <is>
          <t>Component initializes successfully</t>
        </is>
      </c>
      <c r="E48" s="4" t="inlineStr">
        <is>
          <t>TestBed with HttpClientTestingModule + mocked DataService/AuthService; component instantiated</t>
        </is>
      </c>
      <c r="F48" s="4" t="inlineStr">
        <is>
          <t>Instantiate component via TestBed and run change detection</t>
        </is>
      </c>
      <c r="G48" s="4" t="inlineStr">
        <is>
          <t>Mocked service responses</t>
        </is>
      </c>
      <c r="H48" s="4" t="inlineStr">
        <is>
          <t>Component instance is created (toBeTruthy)</t>
        </is>
      </c>
      <c r="I48" s="4" t="inlineStr">
        <is>
          <t>As expected - test passed</t>
        </is>
      </c>
      <c r="J48" s="4" t="inlineStr">
        <is>
          <t>Passed</t>
        </is>
      </c>
      <c r="K48" s="4" t="inlineStr">
        <is>
          <t>Automated (Jasmine/Karma)</t>
        </is>
      </c>
      <c r="L48" s="4" t="inlineStr"/>
      <c r="M48" s="4" t="inlineStr">
        <is>
          <t>Spec: frontend/src/app/modules/housing/housing.component.spec.ts</t>
        </is>
      </c>
    </row>
    <row r="49" ht="64" customHeight="1">
      <c r="A49" s="5" t="inlineStr">
        <is>
          <t>UT-FE-37</t>
        </is>
      </c>
      <c r="B49" s="5" t="inlineStr">
        <is>
          <t>REQ-03</t>
        </is>
      </c>
      <c r="C49" s="5" t="inlineStr">
        <is>
          <t>Housing Scheme - THMS (HousingComponent)</t>
        </is>
      </c>
      <c r="D49" s="5" t="inlineStr">
        <is>
          <t>Default view mode is table view</t>
        </is>
      </c>
      <c r="E49" s="5" t="inlineStr">
        <is>
          <t>TestBed with HttpClientTestingModule + mocked DataService/AuthService; component instantiated</t>
        </is>
      </c>
      <c r="F49" s="5" t="inlineStr">
        <is>
          <t>Create component and read viewMode</t>
        </is>
      </c>
      <c r="G49" s="5" t="inlineStr">
        <is>
          <t>No user interaction</t>
        </is>
      </c>
      <c r="H49" s="5" t="inlineStr">
        <is>
          <t>viewMode is 'table'</t>
        </is>
      </c>
      <c r="I49" s="5" t="inlineStr">
        <is>
          <t>As expected - test passed</t>
        </is>
      </c>
      <c r="J49" s="5" t="inlineStr">
        <is>
          <t>Passed</t>
        </is>
      </c>
      <c r="K49" s="5" t="inlineStr">
        <is>
          <t>Automated (Jasmine/Karma)</t>
        </is>
      </c>
      <c r="L49" s="5" t="inlineStr"/>
      <c r="M49" s="5" t="inlineStr">
        <is>
          <t>Spec: frontend/src/app/modules/housing/housing.component.spec.ts</t>
        </is>
      </c>
    </row>
    <row r="50" ht="64" customHeight="1">
      <c r="A50" s="4" t="inlineStr">
        <is>
          <t>UT-FE-38</t>
        </is>
      </c>
      <c r="B50" s="4" t="inlineStr">
        <is>
          <t>REQ-03</t>
        </is>
      </c>
      <c r="C50" s="4" t="inlineStr">
        <is>
          <t>Housing Scheme - THMS (HousingComponent)</t>
        </is>
      </c>
      <c r="D50" s="4" t="inlineStr">
        <is>
          <t>User can switch to chart view</t>
        </is>
      </c>
      <c r="E50" s="4" t="inlineStr">
        <is>
          <t>TestBed with HttpClientTestingModule + mocked DataService/AuthService; component instantiated</t>
        </is>
      </c>
      <c r="F50" s="4" t="inlineStr">
        <is>
          <t>Set viewMode to 'chart'</t>
        </is>
      </c>
      <c r="G50" s="4" t="inlineStr">
        <is>
          <t>viewMode = 'chart'</t>
        </is>
      </c>
      <c r="H50" s="4" t="inlineStr">
        <is>
          <t>viewMode is 'chart'</t>
        </is>
      </c>
      <c r="I50" s="4" t="inlineStr">
        <is>
          <t>As expected - test passed</t>
        </is>
      </c>
      <c r="J50" s="4" t="inlineStr">
        <is>
          <t>Passed</t>
        </is>
      </c>
      <c r="K50" s="4" t="inlineStr">
        <is>
          <t>Automated (Jasmine/Karma)</t>
        </is>
      </c>
      <c r="L50" s="4" t="inlineStr"/>
      <c r="M50" s="4" t="inlineStr">
        <is>
          <t>Spec: frontend/src/app/modules/housing/housing.component.spec.ts</t>
        </is>
      </c>
    </row>
    <row r="51" ht="64" customHeight="1">
      <c r="A51" s="5" t="inlineStr">
        <is>
          <t>UT-FE-39</t>
        </is>
      </c>
      <c r="B51" s="5" t="inlineStr">
        <is>
          <t>REQ-03</t>
        </is>
      </c>
      <c r="C51" s="5" t="inlineStr">
        <is>
          <t>Housing Scheme - THMS (HousingComponent)</t>
        </is>
      </c>
      <c r="D51" s="5" t="inlineStr">
        <is>
          <t>Opening a row shows the detail dialog</t>
        </is>
      </c>
      <c r="E51" s="5" t="inlineStr">
        <is>
          <t>TestBed with HttpClientTestingModule + mocked DataService/AuthService; component instantiated</t>
        </is>
      </c>
      <c r="F51" s="5" t="inlineStr">
        <is>
          <t>Call openRowDetail(row) with a sample district row</t>
        </is>
      </c>
      <c r="G51" s="5" t="inlineStr">
        <is>
          <t>row = {division: 'Chennai', district: 'Kanchipuram', value: 100}</t>
        </is>
      </c>
      <c r="H51" s="5" t="inlineStr">
        <is>
          <t>dialogVisible is true; activeRow equals the row; dialogTitle is 'Kanchipuram'</t>
        </is>
      </c>
      <c r="I51" s="5" t="inlineStr">
        <is>
          <t>As expected - test passed</t>
        </is>
      </c>
      <c r="J51" s="5" t="inlineStr">
        <is>
          <t>Passed</t>
        </is>
      </c>
      <c r="K51" s="5" t="inlineStr">
        <is>
          <t>Automated (Jasmine/Karma)</t>
        </is>
      </c>
      <c r="L51" s="5" t="inlineStr"/>
      <c r="M51" s="5" t="inlineStr">
        <is>
          <t>Spec: frontend/src/app/modules/housing/housing.component.spec.ts</t>
        </is>
      </c>
    </row>
    <row r="52" ht="64" customHeight="1">
      <c r="A52" s="4" t="inlineStr">
        <is>
          <t>UT-FE-40</t>
        </is>
      </c>
      <c r="B52" s="4" t="inlineStr">
        <is>
          <t>REQ-03</t>
        </is>
      </c>
      <c r="C52" s="4" t="inlineStr">
        <is>
          <t>Housing Scheme - THMS (HousingComponent)</t>
        </is>
      </c>
      <c r="D52" s="4" t="inlineStr">
        <is>
          <t>Dialog closes and clears the active row</t>
        </is>
      </c>
      <c r="E52" s="4" t="inlineStr">
        <is>
          <t>TestBed with HttpClientTestingModule + mocked DataService/AuthService; component instantiated</t>
        </is>
      </c>
      <c r="F52" s="4" t="inlineStr">
        <is>
          <t>Set dialogVisible = true, then call closeDialog()</t>
        </is>
      </c>
      <c r="G52" s="4" t="inlineStr">
        <is>
          <t>dialogVisible = true</t>
        </is>
      </c>
      <c r="H52" s="4" t="inlineStr">
        <is>
          <t>dialogVisible is false; activeRow is null</t>
        </is>
      </c>
      <c r="I52" s="4" t="inlineStr">
        <is>
          <t>As expected - test passed</t>
        </is>
      </c>
      <c r="J52" s="4" t="inlineStr">
        <is>
          <t>Passed</t>
        </is>
      </c>
      <c r="K52" s="4" t="inlineStr">
        <is>
          <t>Automated (Jasmine/Karma)</t>
        </is>
      </c>
      <c r="L52" s="4" t="inlineStr"/>
      <c r="M52" s="4" t="inlineStr">
        <is>
          <t>Spec: frontend/src/app/modules/housing/housing.component.spec.ts</t>
        </is>
      </c>
    </row>
    <row r="53" ht="64" customHeight="1">
      <c r="A53" s="5" t="inlineStr">
        <is>
          <t>UT-FE-41</t>
        </is>
      </c>
      <c r="B53" s="5" t="inlineStr">
        <is>
          <t>REQ-03</t>
        </is>
      </c>
      <c r="C53" s="5" t="inlineStr">
        <is>
          <t>Housing Scheme - THMS (HousingComponent)</t>
        </is>
      </c>
      <c r="D53" s="5" t="inlineStr">
        <is>
          <t>Default financial year is FY 2025-26</t>
        </is>
      </c>
      <c r="E53" s="5" t="inlineStr">
        <is>
          <t>TestBed with HttpClientTestingModule + mocked DataService/AuthService; component instantiated</t>
        </is>
      </c>
      <c r="F53" s="5" t="inlineStr">
        <is>
          <t>Create component and read selectedFY</t>
        </is>
      </c>
      <c r="G53" s="5" t="inlineStr">
        <is>
          <t>No user interaction</t>
        </is>
      </c>
      <c r="H53" s="5" t="inlineStr">
        <is>
          <t>selectedFY is 'FY 2025-26'</t>
        </is>
      </c>
      <c r="I53" s="5" t="inlineStr">
        <is>
          <t>As expected - test passed</t>
        </is>
      </c>
      <c r="J53" s="5" t="inlineStr">
        <is>
          <t>Passed</t>
        </is>
      </c>
      <c r="K53" s="5" t="inlineStr">
        <is>
          <t>Automated (Jasmine/Karma)</t>
        </is>
      </c>
      <c r="L53" s="5" t="inlineStr"/>
      <c r="M53" s="5" t="inlineStr">
        <is>
          <t>Spec: frontend/src/app/modules/housing/housing.component.spec.ts</t>
        </is>
      </c>
    </row>
    <row r="54" ht="64" customHeight="1">
      <c r="A54" s="4" t="inlineStr">
        <is>
          <t>UT-FE-42</t>
        </is>
      </c>
      <c r="B54" s="4" t="inlineStr">
        <is>
          <t>REQ-04</t>
        </is>
      </c>
      <c r="C54" s="4" t="inlineStr">
        <is>
          <t>Attendance &amp; Skill - TAMS (EnrollmentComponent)</t>
        </is>
      </c>
      <c r="D54" s="4" t="inlineStr">
        <is>
          <t>Component initializes successfully</t>
        </is>
      </c>
      <c r="E54" s="4" t="inlineStr">
        <is>
          <t>TestBed with HttpClientTestingModule + mocked DataService/AuthService; component instantiated</t>
        </is>
      </c>
      <c r="F54" s="4" t="inlineStr">
        <is>
          <t>Instantiate component via TestBed and run change detection</t>
        </is>
      </c>
      <c r="G54" s="4" t="inlineStr">
        <is>
          <t>Mocked service responses</t>
        </is>
      </c>
      <c r="H54" s="4" t="inlineStr">
        <is>
          <t>Component instance is created (toBeTruthy)</t>
        </is>
      </c>
      <c r="I54" s="4" t="inlineStr">
        <is>
          <t>As expected - test passed</t>
        </is>
      </c>
      <c r="J54" s="4" t="inlineStr">
        <is>
          <t>Passed</t>
        </is>
      </c>
      <c r="K54" s="4" t="inlineStr">
        <is>
          <t>Automated (Jasmine/Karma)</t>
        </is>
      </c>
      <c r="L54" s="4" t="inlineStr"/>
      <c r="M54" s="4" t="inlineStr">
        <is>
          <t>Spec: frontend/src/app/modules/enrollment/enrollment.component.spec.ts</t>
        </is>
      </c>
    </row>
    <row r="55" ht="64" customHeight="1">
      <c r="A55" s="5" t="inlineStr">
        <is>
          <t>UT-FE-43</t>
        </is>
      </c>
      <c r="B55" s="5" t="inlineStr">
        <is>
          <t>REQ-04</t>
        </is>
      </c>
      <c r="C55" s="5" t="inlineStr">
        <is>
          <t>Attendance &amp; Skill - TAMS (EnrollmentComponent)</t>
        </is>
      </c>
      <c r="D55" s="5" t="inlineStr">
        <is>
          <t>Default view mode is table view</t>
        </is>
      </c>
      <c r="E55" s="5" t="inlineStr">
        <is>
          <t>TestBed with HttpClientTestingModule + mocked DataService/AuthService; component instantiated</t>
        </is>
      </c>
      <c r="F55" s="5" t="inlineStr">
        <is>
          <t>Create component and read viewMode</t>
        </is>
      </c>
      <c r="G55" s="5" t="inlineStr">
        <is>
          <t>No user interaction</t>
        </is>
      </c>
      <c r="H55" s="5" t="inlineStr">
        <is>
          <t>viewMode is 'table'</t>
        </is>
      </c>
      <c r="I55" s="5" t="inlineStr">
        <is>
          <t>As expected - test passed</t>
        </is>
      </c>
      <c r="J55" s="5" t="inlineStr">
        <is>
          <t>Passed</t>
        </is>
      </c>
      <c r="K55" s="5" t="inlineStr">
        <is>
          <t>Automated (Jasmine/Karma)</t>
        </is>
      </c>
      <c r="L55" s="5" t="inlineStr"/>
      <c r="M55" s="5" t="inlineStr">
        <is>
          <t>Spec: frontend/src/app/modules/enrollment/enrollment.component.spec.ts</t>
        </is>
      </c>
    </row>
    <row r="56" ht="64" customHeight="1">
      <c r="A56" s="4" t="inlineStr">
        <is>
          <t>UT-FE-44</t>
        </is>
      </c>
      <c r="B56" s="4" t="inlineStr">
        <is>
          <t>REQ-04</t>
        </is>
      </c>
      <c r="C56" s="4" t="inlineStr">
        <is>
          <t>Attendance &amp; Skill - TAMS (EnrollmentComponent)</t>
        </is>
      </c>
      <c r="D56" s="4" t="inlineStr">
        <is>
          <t>User can switch to chart view</t>
        </is>
      </c>
      <c r="E56" s="4" t="inlineStr">
        <is>
          <t>TestBed with HttpClientTestingModule + mocked DataService/AuthService; component instantiated</t>
        </is>
      </c>
      <c r="F56" s="4" t="inlineStr">
        <is>
          <t>Set viewMode to 'chart'</t>
        </is>
      </c>
      <c r="G56" s="4" t="inlineStr">
        <is>
          <t>viewMode = 'chart'</t>
        </is>
      </c>
      <c r="H56" s="4" t="inlineStr">
        <is>
          <t>viewMode is 'chart'</t>
        </is>
      </c>
      <c r="I56" s="4" t="inlineStr">
        <is>
          <t>As expected - test passed</t>
        </is>
      </c>
      <c r="J56" s="4" t="inlineStr">
        <is>
          <t>Passed</t>
        </is>
      </c>
      <c r="K56" s="4" t="inlineStr">
        <is>
          <t>Automated (Jasmine/Karma)</t>
        </is>
      </c>
      <c r="L56" s="4" t="inlineStr"/>
      <c r="M56" s="4" t="inlineStr">
        <is>
          <t>Spec: frontend/src/app/modules/enrollment/enrollment.component.spec.ts</t>
        </is>
      </c>
    </row>
    <row r="57" ht="64" customHeight="1">
      <c r="A57" s="5" t="inlineStr">
        <is>
          <t>UT-FE-45</t>
        </is>
      </c>
      <c r="B57" s="5" t="inlineStr">
        <is>
          <t>REQ-04</t>
        </is>
      </c>
      <c r="C57" s="5" t="inlineStr">
        <is>
          <t>Attendance &amp; Skill - TAMS (EnrollmentComponent)</t>
        </is>
      </c>
      <c r="D57" s="5" t="inlineStr">
        <is>
          <t>Opening a row shows the detail dialog</t>
        </is>
      </c>
      <c r="E57" s="5" t="inlineStr">
        <is>
          <t>TestBed with HttpClientTestingModule + mocked DataService/AuthService; component instantiated</t>
        </is>
      </c>
      <c r="F57" s="5" t="inlineStr">
        <is>
          <t>Call openRowDetail(row) with a sample district row</t>
        </is>
      </c>
      <c r="G57" s="5" t="inlineStr">
        <is>
          <t>row = {division: 'Chennai', district: 'Kanchipuram', value: 100}</t>
        </is>
      </c>
      <c r="H57" s="5" t="inlineStr">
        <is>
          <t>dialogVisible is true; activeRow equals the row; dialogTitle is 'Kanchipuram'</t>
        </is>
      </c>
      <c r="I57" s="5" t="inlineStr">
        <is>
          <t>As expected - test passed</t>
        </is>
      </c>
      <c r="J57" s="5" t="inlineStr">
        <is>
          <t>Passed</t>
        </is>
      </c>
      <c r="K57" s="5" t="inlineStr">
        <is>
          <t>Automated (Jasmine/Karma)</t>
        </is>
      </c>
      <c r="L57" s="5" t="inlineStr"/>
      <c r="M57" s="5" t="inlineStr">
        <is>
          <t>Spec: frontend/src/app/modules/enrollment/enrollment.component.spec.ts</t>
        </is>
      </c>
    </row>
    <row r="58" ht="64" customHeight="1">
      <c r="A58" s="4" t="inlineStr">
        <is>
          <t>UT-FE-46</t>
        </is>
      </c>
      <c r="B58" s="4" t="inlineStr">
        <is>
          <t>REQ-04</t>
        </is>
      </c>
      <c r="C58" s="4" t="inlineStr">
        <is>
          <t>Attendance &amp; Skill - TAMS (EnrollmentComponent)</t>
        </is>
      </c>
      <c r="D58" s="4" t="inlineStr">
        <is>
          <t>Dialog closes and clears the active row</t>
        </is>
      </c>
      <c r="E58" s="4" t="inlineStr">
        <is>
          <t>TestBed with HttpClientTestingModule + mocked DataService/AuthService; component instantiated</t>
        </is>
      </c>
      <c r="F58" s="4" t="inlineStr">
        <is>
          <t>Set dialogVisible = true, then call closeDialog()</t>
        </is>
      </c>
      <c r="G58" s="4" t="inlineStr">
        <is>
          <t>dialogVisible = true</t>
        </is>
      </c>
      <c r="H58" s="4" t="inlineStr">
        <is>
          <t>dialogVisible is false; activeRow is null</t>
        </is>
      </c>
      <c r="I58" s="4" t="inlineStr">
        <is>
          <t>As expected - test passed</t>
        </is>
      </c>
      <c r="J58" s="4" t="inlineStr">
        <is>
          <t>Passed</t>
        </is>
      </c>
      <c r="K58" s="4" t="inlineStr">
        <is>
          <t>Automated (Jasmine/Karma)</t>
        </is>
      </c>
      <c r="L58" s="4" t="inlineStr"/>
      <c r="M58" s="4" t="inlineStr">
        <is>
          <t>Spec: frontend/src/app/modules/enrollment/enrollment.component.spec.ts</t>
        </is>
      </c>
    </row>
    <row r="59" ht="64" customHeight="1">
      <c r="A59" s="5" t="inlineStr">
        <is>
          <t>UT-FE-47</t>
        </is>
      </c>
      <c r="B59" s="5" t="inlineStr">
        <is>
          <t>REQ-04</t>
        </is>
      </c>
      <c r="C59" s="5" t="inlineStr">
        <is>
          <t>Attendance &amp; Skill - TAMS (EnrollmentComponent)</t>
        </is>
      </c>
      <c r="D59" s="5" t="inlineStr">
        <is>
          <t>Default financial year is FY 2025-26</t>
        </is>
      </c>
      <c r="E59" s="5" t="inlineStr">
        <is>
          <t>TestBed with HttpClientTestingModule + mocked DataService/AuthService; component instantiated</t>
        </is>
      </c>
      <c r="F59" s="5" t="inlineStr">
        <is>
          <t>Create component and read selectedFY</t>
        </is>
      </c>
      <c r="G59" s="5" t="inlineStr">
        <is>
          <t>No user interaction</t>
        </is>
      </c>
      <c r="H59" s="5" t="inlineStr">
        <is>
          <t>selectedFY is 'FY 2025-26'</t>
        </is>
      </c>
      <c r="I59" s="5" t="inlineStr">
        <is>
          <t>As expected - test passed</t>
        </is>
      </c>
      <c r="J59" s="5" t="inlineStr">
        <is>
          <t>Passed</t>
        </is>
      </c>
      <c r="K59" s="5" t="inlineStr">
        <is>
          <t>Automated (Jasmine/Karma)</t>
        </is>
      </c>
      <c r="L59" s="5" t="inlineStr"/>
      <c r="M59" s="5" t="inlineStr">
        <is>
          <t>Spec: frontend/src/app/modules/enrollment/enrollment.component.spec.ts</t>
        </is>
      </c>
    </row>
    <row r="60" ht="64" customHeight="1">
      <c r="A60" s="4" t="inlineStr">
        <is>
          <t>UT-FE-48</t>
        </is>
      </c>
      <c r="B60" s="4" t="inlineStr">
        <is>
          <t>REQ-06</t>
        </is>
      </c>
      <c r="C60" s="4" t="inlineStr">
        <is>
          <t>CCTV Surveillance - Patrol360 (Patrol360Component)</t>
        </is>
      </c>
      <c r="D60" s="4" t="inlineStr">
        <is>
          <t>Component initializes successfully</t>
        </is>
      </c>
      <c r="E60" s="4" t="inlineStr">
        <is>
          <t>TestBed with HttpClientTestingModule + mocked DataService/AuthService; component instantiated</t>
        </is>
      </c>
      <c r="F60" s="4" t="inlineStr">
        <is>
          <t>Instantiate component via TestBed and run change detection</t>
        </is>
      </c>
      <c r="G60" s="4" t="inlineStr">
        <is>
          <t>Mocked service responses</t>
        </is>
      </c>
      <c r="H60" s="4" t="inlineStr">
        <is>
          <t>Component instance is created (toBeTruthy)</t>
        </is>
      </c>
      <c r="I60" s="4" t="inlineStr">
        <is>
          <t>As expected - test passed</t>
        </is>
      </c>
      <c r="J60" s="4" t="inlineStr">
        <is>
          <t>Passed</t>
        </is>
      </c>
      <c r="K60" s="4" t="inlineStr">
        <is>
          <t>Automated (Jasmine/Karma)</t>
        </is>
      </c>
      <c r="L60" s="4" t="inlineStr"/>
      <c r="M60" s="4" t="inlineStr">
        <is>
          <t>Spec: frontend/src/app/modules/patrol360/patrol360.component.spec.ts</t>
        </is>
      </c>
    </row>
    <row r="61" ht="64" customHeight="1">
      <c r="A61" s="5" t="inlineStr">
        <is>
          <t>UT-FE-49</t>
        </is>
      </c>
      <c r="B61" s="5" t="inlineStr">
        <is>
          <t>REQ-06</t>
        </is>
      </c>
      <c r="C61" s="5" t="inlineStr">
        <is>
          <t>CCTV Surveillance - Patrol360 (Patrol360Component)</t>
        </is>
      </c>
      <c r="D61" s="5" t="inlineStr">
        <is>
          <t>Default view mode is table view</t>
        </is>
      </c>
      <c r="E61" s="5" t="inlineStr">
        <is>
          <t>TestBed with HttpClientTestingModule + mocked DataService/AuthService; component instantiated</t>
        </is>
      </c>
      <c r="F61" s="5" t="inlineStr">
        <is>
          <t>Create component and read viewMode</t>
        </is>
      </c>
      <c r="G61" s="5" t="inlineStr">
        <is>
          <t>No user interaction</t>
        </is>
      </c>
      <c r="H61" s="5" t="inlineStr">
        <is>
          <t>viewMode is 'table'</t>
        </is>
      </c>
      <c r="I61" s="5" t="inlineStr">
        <is>
          <t>As expected - test passed</t>
        </is>
      </c>
      <c r="J61" s="5" t="inlineStr">
        <is>
          <t>Passed</t>
        </is>
      </c>
      <c r="K61" s="5" t="inlineStr">
        <is>
          <t>Automated (Jasmine/Karma)</t>
        </is>
      </c>
      <c r="L61" s="5" t="inlineStr"/>
      <c r="M61" s="5" t="inlineStr">
        <is>
          <t>Spec: frontend/src/app/modules/patrol360/patrol360.component.spec.ts</t>
        </is>
      </c>
    </row>
    <row r="62" ht="64" customHeight="1">
      <c r="A62" s="4" t="inlineStr">
        <is>
          <t>UT-FE-50</t>
        </is>
      </c>
      <c r="B62" s="4" t="inlineStr">
        <is>
          <t>REQ-06</t>
        </is>
      </c>
      <c r="C62" s="4" t="inlineStr">
        <is>
          <t>CCTV Surveillance - Patrol360 (Patrol360Component)</t>
        </is>
      </c>
      <c r="D62" s="4" t="inlineStr">
        <is>
          <t>User can switch to chart view</t>
        </is>
      </c>
      <c r="E62" s="4" t="inlineStr">
        <is>
          <t>TestBed with HttpClientTestingModule + mocked DataService/AuthService; component instantiated</t>
        </is>
      </c>
      <c r="F62" s="4" t="inlineStr">
        <is>
          <t>Set viewMode to 'chart'</t>
        </is>
      </c>
      <c r="G62" s="4" t="inlineStr">
        <is>
          <t>viewMode = 'chart'</t>
        </is>
      </c>
      <c r="H62" s="4" t="inlineStr">
        <is>
          <t>viewMode is 'chart'</t>
        </is>
      </c>
      <c r="I62" s="4" t="inlineStr">
        <is>
          <t>As expected - test passed</t>
        </is>
      </c>
      <c r="J62" s="4" t="inlineStr">
        <is>
          <t>Passed</t>
        </is>
      </c>
      <c r="K62" s="4" t="inlineStr">
        <is>
          <t>Automated (Jasmine/Karma)</t>
        </is>
      </c>
      <c r="L62" s="4" t="inlineStr"/>
      <c r="M62" s="4" t="inlineStr">
        <is>
          <t>Spec: frontend/src/app/modules/patrol360/patrol360.component.spec.ts</t>
        </is>
      </c>
    </row>
    <row r="63" ht="64" customHeight="1">
      <c r="A63" s="5" t="inlineStr">
        <is>
          <t>UT-FE-51</t>
        </is>
      </c>
      <c r="B63" s="5" t="inlineStr">
        <is>
          <t>REQ-06</t>
        </is>
      </c>
      <c r="C63" s="5" t="inlineStr">
        <is>
          <t>CCTV Surveillance - Patrol360 (Patrol360Component)</t>
        </is>
      </c>
      <c r="D63" s="5" t="inlineStr">
        <is>
          <t>Opening a row shows the detail dialog</t>
        </is>
      </c>
      <c r="E63" s="5" t="inlineStr">
        <is>
          <t>TestBed with HttpClientTestingModule + mocked DataService/AuthService; component instantiated</t>
        </is>
      </c>
      <c r="F63" s="5" t="inlineStr">
        <is>
          <t>Call openRowDetail(row) with a sample district row</t>
        </is>
      </c>
      <c r="G63" s="5" t="inlineStr">
        <is>
          <t>row = {division: 'Chennai', district: 'Kanchipuram', value: 100}</t>
        </is>
      </c>
      <c r="H63" s="5" t="inlineStr">
        <is>
          <t>dialogVisible is true; activeRow equals the row; dialogTitle is 'Kanchipuram'</t>
        </is>
      </c>
      <c r="I63" s="5" t="inlineStr">
        <is>
          <t>As expected - test passed</t>
        </is>
      </c>
      <c r="J63" s="5" t="inlineStr">
        <is>
          <t>Passed</t>
        </is>
      </c>
      <c r="K63" s="5" t="inlineStr">
        <is>
          <t>Automated (Jasmine/Karma)</t>
        </is>
      </c>
      <c r="L63" s="5" t="inlineStr"/>
      <c r="M63" s="5" t="inlineStr">
        <is>
          <t>Spec: frontend/src/app/modules/patrol360/patrol360.component.spec.ts</t>
        </is>
      </c>
    </row>
    <row r="64" ht="64" customHeight="1">
      <c r="A64" s="4" t="inlineStr">
        <is>
          <t>UT-FE-52</t>
        </is>
      </c>
      <c r="B64" s="4" t="inlineStr">
        <is>
          <t>REQ-06</t>
        </is>
      </c>
      <c r="C64" s="4" t="inlineStr">
        <is>
          <t>CCTV Surveillance - Patrol360 (Patrol360Component)</t>
        </is>
      </c>
      <c r="D64" s="4" t="inlineStr">
        <is>
          <t>Dialog closes and clears the active row</t>
        </is>
      </c>
      <c r="E64" s="4" t="inlineStr">
        <is>
          <t>TestBed with HttpClientTestingModule + mocked DataService/AuthService; component instantiated</t>
        </is>
      </c>
      <c r="F64" s="4" t="inlineStr">
        <is>
          <t>Set dialogVisible = true, then call closeDialog()</t>
        </is>
      </c>
      <c r="G64" s="4" t="inlineStr">
        <is>
          <t>dialogVisible = true</t>
        </is>
      </c>
      <c r="H64" s="4" t="inlineStr">
        <is>
          <t>dialogVisible is false; activeRow is null</t>
        </is>
      </c>
      <c r="I64" s="4" t="inlineStr">
        <is>
          <t>As expected - test passed</t>
        </is>
      </c>
      <c r="J64" s="4" t="inlineStr">
        <is>
          <t>Passed</t>
        </is>
      </c>
      <c r="K64" s="4" t="inlineStr">
        <is>
          <t>Automated (Jasmine/Karma)</t>
        </is>
      </c>
      <c r="L64" s="4" t="inlineStr"/>
      <c r="M64" s="4" t="inlineStr">
        <is>
          <t>Spec: frontend/src/app/modules/patrol360/patrol360.component.spec.ts</t>
        </is>
      </c>
    </row>
    <row r="65" ht="64" customHeight="1">
      <c r="A65" s="5" t="inlineStr">
        <is>
          <t>UT-FE-53</t>
        </is>
      </c>
      <c r="B65" s="5" t="inlineStr">
        <is>
          <t>REQ-06</t>
        </is>
      </c>
      <c r="C65" s="5" t="inlineStr">
        <is>
          <t>CCTV Surveillance - Patrol360 (Patrol360Component)</t>
        </is>
      </c>
      <c r="D65" s="5" t="inlineStr">
        <is>
          <t>Default financial year is FY 2025-26</t>
        </is>
      </c>
      <c r="E65" s="5" t="inlineStr">
        <is>
          <t>TestBed with HttpClientTestingModule + mocked DataService/AuthService; component instantiated</t>
        </is>
      </c>
      <c r="F65" s="5" t="inlineStr">
        <is>
          <t>Create component and read selectedFY</t>
        </is>
      </c>
      <c r="G65" s="5" t="inlineStr">
        <is>
          <t>No user interaction</t>
        </is>
      </c>
      <c r="H65" s="5" t="inlineStr">
        <is>
          <t>selectedFY is 'FY 2025-26'</t>
        </is>
      </c>
      <c r="I65" s="5" t="inlineStr">
        <is>
          <t>As expected - test passed</t>
        </is>
      </c>
      <c r="J65" s="5" t="inlineStr">
        <is>
          <t>Passed</t>
        </is>
      </c>
      <c r="K65" s="5" t="inlineStr">
        <is>
          <t>Automated (Jasmine/Karma)</t>
        </is>
      </c>
      <c r="L65" s="5" t="inlineStr"/>
      <c r="M65" s="5" t="inlineStr">
        <is>
          <t>Spec: frontend/src/app/modules/patrol360/patrol360.component.spec.ts</t>
        </is>
      </c>
    </row>
    <row r="66" ht="64" customHeight="1">
      <c r="A66" s="4" t="inlineStr">
        <is>
          <t>UT-FE-54</t>
        </is>
      </c>
      <c r="B66" s="4" t="inlineStr">
        <is>
          <t>REQ-09</t>
        </is>
      </c>
      <c r="C66" s="4" t="inlineStr">
        <is>
          <t>Official Diaries - TOD (TodComponent)</t>
        </is>
      </c>
      <c r="D66" s="4" t="inlineStr">
        <is>
          <t>Component initializes successfully</t>
        </is>
      </c>
      <c r="E66" s="4" t="inlineStr">
        <is>
          <t>TestBed with HttpClientTestingModule + mocked DataService/AuthService; component instantiated</t>
        </is>
      </c>
      <c r="F66" s="4" t="inlineStr">
        <is>
          <t>Instantiate component via TestBed and run change detection</t>
        </is>
      </c>
      <c r="G66" s="4" t="inlineStr">
        <is>
          <t>Mocked service responses</t>
        </is>
      </c>
      <c r="H66" s="4" t="inlineStr">
        <is>
          <t>Component instance is created (toBeTruthy)</t>
        </is>
      </c>
      <c r="I66" s="4" t="inlineStr">
        <is>
          <t>As expected - test passed</t>
        </is>
      </c>
      <c r="J66" s="4" t="inlineStr">
        <is>
          <t>Passed</t>
        </is>
      </c>
      <c r="K66" s="4" t="inlineStr">
        <is>
          <t>Automated (Jasmine/Karma)</t>
        </is>
      </c>
      <c r="L66" s="4" t="inlineStr"/>
      <c r="M66" s="4" t="inlineStr">
        <is>
          <t>Spec: frontend/src/app/modules/tod/tod.component.spec.ts</t>
        </is>
      </c>
    </row>
    <row r="67" ht="64" customHeight="1">
      <c r="A67" s="5" t="inlineStr">
        <is>
          <t>UT-FE-55</t>
        </is>
      </c>
      <c r="B67" s="5" t="inlineStr">
        <is>
          <t>REQ-09</t>
        </is>
      </c>
      <c r="C67" s="5" t="inlineStr">
        <is>
          <t>Official Diaries - TOD (TodComponent)</t>
        </is>
      </c>
      <c r="D67" s="5" t="inlineStr">
        <is>
          <t>Default view mode is table view</t>
        </is>
      </c>
      <c r="E67" s="5" t="inlineStr">
        <is>
          <t>TestBed with HttpClientTestingModule + mocked DataService/AuthService; component instantiated</t>
        </is>
      </c>
      <c r="F67" s="5" t="inlineStr">
        <is>
          <t>Create component and read viewMode</t>
        </is>
      </c>
      <c r="G67" s="5" t="inlineStr">
        <is>
          <t>No user interaction</t>
        </is>
      </c>
      <c r="H67" s="5" t="inlineStr">
        <is>
          <t>viewMode is 'table'</t>
        </is>
      </c>
      <c r="I67" s="5" t="inlineStr">
        <is>
          <t>As expected - test passed</t>
        </is>
      </c>
      <c r="J67" s="5" t="inlineStr">
        <is>
          <t>Passed</t>
        </is>
      </c>
      <c r="K67" s="5" t="inlineStr">
        <is>
          <t>Automated (Jasmine/Karma)</t>
        </is>
      </c>
      <c r="L67" s="5" t="inlineStr"/>
      <c r="M67" s="5" t="inlineStr">
        <is>
          <t>Spec: frontend/src/app/modules/tod/tod.component.spec.ts</t>
        </is>
      </c>
    </row>
    <row r="68" ht="64" customHeight="1">
      <c r="A68" s="4" t="inlineStr">
        <is>
          <t>UT-FE-56</t>
        </is>
      </c>
      <c r="B68" s="4" t="inlineStr">
        <is>
          <t>REQ-09</t>
        </is>
      </c>
      <c r="C68" s="4" t="inlineStr">
        <is>
          <t>Official Diaries - TOD (TodComponent)</t>
        </is>
      </c>
      <c r="D68" s="4" t="inlineStr">
        <is>
          <t>User can switch to chart view</t>
        </is>
      </c>
      <c r="E68" s="4" t="inlineStr">
        <is>
          <t>TestBed with HttpClientTestingModule + mocked DataService/AuthService; component instantiated</t>
        </is>
      </c>
      <c r="F68" s="4" t="inlineStr">
        <is>
          <t>Set viewMode to 'chart'</t>
        </is>
      </c>
      <c r="G68" s="4" t="inlineStr">
        <is>
          <t>viewMode = 'chart'</t>
        </is>
      </c>
      <c r="H68" s="4" t="inlineStr">
        <is>
          <t>viewMode is 'chart'</t>
        </is>
      </c>
      <c r="I68" s="4" t="inlineStr">
        <is>
          <t>As expected - test passed</t>
        </is>
      </c>
      <c r="J68" s="4" t="inlineStr">
        <is>
          <t>Passed</t>
        </is>
      </c>
      <c r="K68" s="4" t="inlineStr">
        <is>
          <t>Automated (Jasmine/Karma)</t>
        </is>
      </c>
      <c r="L68" s="4" t="inlineStr"/>
      <c r="M68" s="4" t="inlineStr">
        <is>
          <t>Spec: frontend/src/app/modules/tod/tod.component.spec.ts</t>
        </is>
      </c>
    </row>
    <row r="69" ht="64" customHeight="1">
      <c r="A69" s="5" t="inlineStr">
        <is>
          <t>UT-FE-57</t>
        </is>
      </c>
      <c r="B69" s="5" t="inlineStr">
        <is>
          <t>REQ-09</t>
        </is>
      </c>
      <c r="C69" s="5" t="inlineStr">
        <is>
          <t>Official Diaries - TOD (TodComponent)</t>
        </is>
      </c>
      <c r="D69" s="5" t="inlineStr">
        <is>
          <t>Opening a row shows the detail dialog</t>
        </is>
      </c>
      <c r="E69" s="5" t="inlineStr">
        <is>
          <t>TestBed with HttpClientTestingModule + mocked DataService/AuthService; component instantiated</t>
        </is>
      </c>
      <c r="F69" s="5" t="inlineStr">
        <is>
          <t>Call openRowDetail(row) with a sample district row</t>
        </is>
      </c>
      <c r="G69" s="5" t="inlineStr">
        <is>
          <t>row = {division: 'Chennai', district: 'Kanchipuram', value: 100}</t>
        </is>
      </c>
      <c r="H69" s="5" t="inlineStr">
        <is>
          <t>dialogVisible is true; activeRow equals the row; dialogTitle is 'Kanchipuram · Chennai'</t>
        </is>
      </c>
      <c r="I69" s="5" t="inlineStr">
        <is>
          <t>As expected - test passed</t>
        </is>
      </c>
      <c r="J69" s="5" t="inlineStr">
        <is>
          <t>Passed</t>
        </is>
      </c>
      <c r="K69" s="5" t="inlineStr">
        <is>
          <t>Automated (Jasmine/Karma)</t>
        </is>
      </c>
      <c r="L69" s="5" t="inlineStr"/>
      <c r="M69" s="5" t="inlineStr">
        <is>
          <t>Spec: frontend/src/app/modules/tod/tod.component.spec.ts</t>
        </is>
      </c>
    </row>
    <row r="70" ht="64" customHeight="1">
      <c r="A70" s="4" t="inlineStr">
        <is>
          <t>UT-FE-58</t>
        </is>
      </c>
      <c r="B70" s="4" t="inlineStr">
        <is>
          <t>REQ-09</t>
        </is>
      </c>
      <c r="C70" s="4" t="inlineStr">
        <is>
          <t>Official Diaries - TOD (TodComponent)</t>
        </is>
      </c>
      <c r="D70" s="4" t="inlineStr">
        <is>
          <t>Dialog closes and clears the active row</t>
        </is>
      </c>
      <c r="E70" s="4" t="inlineStr">
        <is>
          <t>TestBed with HttpClientTestingModule + mocked DataService/AuthService; component instantiated</t>
        </is>
      </c>
      <c r="F70" s="4" t="inlineStr">
        <is>
          <t>Set dialogVisible = true, then call closeDialog()</t>
        </is>
      </c>
      <c r="G70" s="4" t="inlineStr">
        <is>
          <t>dialogVisible = true</t>
        </is>
      </c>
      <c r="H70" s="4" t="inlineStr">
        <is>
          <t>dialogVisible is false; activeRow is null</t>
        </is>
      </c>
      <c r="I70" s="4" t="inlineStr">
        <is>
          <t>As expected - test passed</t>
        </is>
      </c>
      <c r="J70" s="4" t="inlineStr">
        <is>
          <t>Passed</t>
        </is>
      </c>
      <c r="K70" s="4" t="inlineStr">
        <is>
          <t>Automated (Jasmine/Karma)</t>
        </is>
      </c>
      <c r="L70" s="4" t="inlineStr"/>
      <c r="M70" s="4" t="inlineStr">
        <is>
          <t>Spec: frontend/src/app/modules/tod/tod.component.spec.ts</t>
        </is>
      </c>
    </row>
    <row r="71" ht="64" customHeight="1">
      <c r="A71" s="5" t="inlineStr">
        <is>
          <t>UT-FE-59</t>
        </is>
      </c>
      <c r="B71" s="5" t="inlineStr">
        <is>
          <t>REQ-09</t>
        </is>
      </c>
      <c r="C71" s="5" t="inlineStr">
        <is>
          <t>Official Diaries - TOD (TodComponent)</t>
        </is>
      </c>
      <c r="D71" s="5" t="inlineStr">
        <is>
          <t>Default financial year is FY 2025-26</t>
        </is>
      </c>
      <c r="E71" s="5" t="inlineStr">
        <is>
          <t>TestBed with HttpClientTestingModule + mocked DataService/AuthService; component instantiated</t>
        </is>
      </c>
      <c r="F71" s="5" t="inlineStr">
        <is>
          <t>Create component and read selectedFY</t>
        </is>
      </c>
      <c r="G71" s="5" t="inlineStr">
        <is>
          <t>No user interaction</t>
        </is>
      </c>
      <c r="H71" s="5" t="inlineStr">
        <is>
          <t>selectedFY is 'FY 2025-26'</t>
        </is>
      </c>
      <c r="I71" s="5" t="inlineStr">
        <is>
          <t>As expected - test passed</t>
        </is>
      </c>
      <c r="J71" s="5" t="inlineStr">
        <is>
          <t>Passed</t>
        </is>
      </c>
      <c r="K71" s="5" t="inlineStr">
        <is>
          <t>Automated (Jasmine/Karma)</t>
        </is>
      </c>
      <c r="L71" s="5" t="inlineStr"/>
      <c r="M71" s="5" t="inlineStr">
        <is>
          <t>Spec: frontend/src/app/modules/tod/tod.component.spec.ts</t>
        </is>
      </c>
    </row>
    <row r="72" ht="64" customHeight="1">
      <c r="A72" s="4" t="inlineStr">
        <is>
          <t>UT-FE-60</t>
        </is>
      </c>
      <c r="B72" s="4" t="inlineStr">
        <is>
          <t>REQ-13</t>
        </is>
      </c>
      <c r="C72" s="4" t="inlineStr">
        <is>
          <t>Drill-Down District View (DrillComponent)</t>
        </is>
      </c>
      <c r="D72" s="4" t="inlineStr">
        <is>
          <t>Component initializes successfully</t>
        </is>
      </c>
      <c r="E72" s="4" t="inlineStr">
        <is>
          <t>TestBed with HttpClientTestingModule + mocked DataService/AuthService; component instantiated</t>
        </is>
      </c>
      <c r="F72" s="4" t="inlineStr">
        <is>
          <t>Instantiate component via TestBed and detect changes</t>
        </is>
      </c>
      <c r="G72" s="4" t="inlineStr">
        <is>
          <t>Mocked getDrillData with tender config</t>
        </is>
      </c>
      <c r="H72" s="4" t="inlineStr">
        <is>
          <t>Component instance is created (toBeTruthy)</t>
        </is>
      </c>
      <c r="I72" s="4" t="inlineStr">
        <is>
          <t>As expected - test passed</t>
        </is>
      </c>
      <c r="J72" s="4" t="inlineStr">
        <is>
          <t>Passed</t>
        </is>
      </c>
      <c r="K72" s="4" t="inlineStr">
        <is>
          <t>Automated (Jasmine/Karma)</t>
        </is>
      </c>
      <c r="L72" s="4" t="inlineStr"/>
      <c r="M72" s="4" t="inlineStr">
        <is>
          <t>Spec: frontend/src/app/modules/drill/drill.component.spec.ts</t>
        </is>
      </c>
    </row>
    <row r="73" ht="64" customHeight="1">
      <c r="A73" s="5" t="inlineStr">
        <is>
          <t>UT-FE-61</t>
        </is>
      </c>
      <c r="B73" s="5" t="inlineStr">
        <is>
          <t>REQ-13</t>
        </is>
      </c>
      <c r="C73" s="5" t="inlineStr">
        <is>
          <t>Drill-Down District View (DrillComponent)</t>
        </is>
      </c>
      <c r="D73" s="5" t="inlineStr">
        <is>
          <t>Config loads and the first row is selected</t>
        </is>
      </c>
      <c r="E73" s="5" t="inlineStr">
        <is>
          <t>TestBed with HttpClientTestingModule + mocked DataService/AuthService; component instantiated</t>
        </is>
      </c>
      <c r="F73" s="5" t="inlineStr">
        <is>
          <t>Create the component with mocked drill data and read the initial state</t>
        </is>
      </c>
      <c r="G73" s="5" t="inlineStr">
        <is>
          <t>mockRows: chennai (100), salem (80)</t>
        </is>
      </c>
      <c r="H73" s="5" t="inlineStr">
        <is>
          <t>config.moduleCode 'TIPS'; activeRow.key 'chennai'; filteredRows.length 2</t>
        </is>
      </c>
      <c r="I73" s="5" t="inlineStr">
        <is>
          <t>As expected - test passed</t>
        </is>
      </c>
      <c r="J73" s="5" t="inlineStr">
        <is>
          <t>Passed</t>
        </is>
      </c>
      <c r="K73" s="5" t="inlineStr">
        <is>
          <t>Automated (Jasmine/Karma)</t>
        </is>
      </c>
      <c r="L73" s="5" t="inlineStr"/>
      <c r="M73" s="5" t="inlineStr">
        <is>
          <t>Spec: frontend/src/app/modules/drill/drill.component.spec.ts</t>
        </is>
      </c>
    </row>
    <row r="74" ht="64" customHeight="1">
      <c r="A74" s="4" t="inlineStr">
        <is>
          <t>UT-FE-62</t>
        </is>
      </c>
      <c r="B74" s="4" t="inlineStr">
        <is>
          <t>REQ-13</t>
        </is>
      </c>
      <c r="C74" s="4" t="inlineStr">
        <is>
          <t>Drill-Down District View (DrillComponent)</t>
        </is>
      </c>
      <c r="D74" s="4" t="inlineStr">
        <is>
          <t>Clicking a row selects it</t>
        </is>
      </c>
      <c r="E74" s="4" t="inlineStr">
        <is>
          <t>TestBed with HttpClientTestingModule + mocked DataService/AuthService; component instantiated</t>
        </is>
      </c>
      <c r="F74" s="4" t="inlineStr">
        <is>
          <t>Call selectRow(salemRow)</t>
        </is>
      </c>
      <c r="G74" s="4" t="inlineStr">
        <is>
          <t>row key = 'salem'</t>
        </is>
      </c>
      <c r="H74" s="4" t="inlineStr">
        <is>
          <t>activeRow.key == 'salem'</t>
        </is>
      </c>
      <c r="I74" s="4" t="inlineStr">
        <is>
          <t>As expected - test passed</t>
        </is>
      </c>
      <c r="J74" s="4" t="inlineStr">
        <is>
          <t>Passed</t>
        </is>
      </c>
      <c r="K74" s="4" t="inlineStr">
        <is>
          <t>Automated (Jasmine/Karma)</t>
        </is>
      </c>
      <c r="L74" s="4" t="inlineStr"/>
      <c r="M74" s="4" t="inlineStr">
        <is>
          <t>Spec: frontend/src/app/modules/drill/drill.component.spec.ts</t>
        </is>
      </c>
    </row>
    <row r="75" ht="64" customHeight="1">
      <c r="A75" s="5" t="inlineStr">
        <is>
          <t>UT-FE-63</t>
        </is>
      </c>
      <c r="B75" s="5" t="inlineStr">
        <is>
          <t>REQ-13</t>
        </is>
      </c>
      <c r="C75" s="5" t="inlineStr">
        <is>
          <t>Drill-Down District View (DrillComponent)</t>
        </is>
      </c>
      <c r="D75" s="5" t="inlineStr">
        <is>
          <t>Segment percentage is computed</t>
        </is>
      </c>
      <c r="E75" s="5" t="inlineStr">
        <is>
          <t>TestBed with HttpClientTestingModule + mocked DataService/AuthService; component instantiated</t>
        </is>
      </c>
      <c r="F75" s="5" t="inlineStr">
        <is>
          <t>Call segmentPct(chennaiRow, 60)</t>
        </is>
      </c>
      <c r="G75" s="5" t="inlineStr">
        <is>
          <t>segment value 60 of row total 100</t>
        </is>
      </c>
      <c r="H75" s="5" t="inlineStr">
        <is>
          <t>Returns 60</t>
        </is>
      </c>
      <c r="I75" s="5" t="inlineStr">
        <is>
          <t>As expected - test passed</t>
        </is>
      </c>
      <c r="J75" s="5" t="inlineStr">
        <is>
          <t>Passed</t>
        </is>
      </c>
      <c r="K75" s="5" t="inlineStr">
        <is>
          <t>Automated (Jasmine/Karma)</t>
        </is>
      </c>
      <c r="L75" s="5" t="inlineStr"/>
      <c r="M75" s="5" t="inlineStr">
        <is>
          <t>Spec: frontend/src/app/modules/drill/drill.component.spec.ts</t>
        </is>
      </c>
    </row>
    <row r="76" ht="64" customHeight="1">
      <c r="A76" s="4" t="inlineStr">
        <is>
          <t>UT-FE-64</t>
        </is>
      </c>
      <c r="B76" s="4" t="inlineStr">
        <is>
          <t>REQ-13</t>
        </is>
      </c>
      <c r="C76" s="4" t="inlineStr">
        <is>
          <t>Drill-Down District View (DrillComponent)</t>
        </is>
      </c>
      <c r="D76" s="4" t="inlineStr">
        <is>
          <t>Row total is computed</t>
        </is>
      </c>
      <c r="E76" s="4" t="inlineStr">
        <is>
          <t>TestBed with HttpClientTestingModule + mocked DataService/AuthService; component instantiated</t>
        </is>
      </c>
      <c r="F76" s="4" t="inlineStr">
        <is>
          <t>Call rowTotal(chennaiRow)</t>
        </is>
      </c>
      <c r="G76" s="4" t="inlineStr">
        <is>
          <t>row value 100</t>
        </is>
      </c>
      <c r="H76" s="4" t="inlineStr">
        <is>
          <t>Returns 100</t>
        </is>
      </c>
      <c r="I76" s="4" t="inlineStr">
        <is>
          <t>As expected - test passed</t>
        </is>
      </c>
      <c r="J76" s="4" t="inlineStr">
        <is>
          <t>Passed</t>
        </is>
      </c>
      <c r="K76" s="4" t="inlineStr">
        <is>
          <t>Automated (Jasmine/Karma)</t>
        </is>
      </c>
      <c r="L76" s="4" t="inlineStr"/>
      <c r="M76" s="4" t="inlineStr">
        <is>
          <t>Spec: frontend/src/app/modules/drill/drill.component.spec.ts</t>
        </is>
      </c>
    </row>
    <row r="77" ht="64" customHeight="1">
      <c r="A77" s="5" t="inlineStr">
        <is>
          <t>UT-FE-65</t>
        </is>
      </c>
      <c r="B77" s="5" t="inlineStr">
        <is>
          <t>REQ-13</t>
        </is>
      </c>
      <c r="C77" s="5" t="inlineStr">
        <is>
          <t>Drill-Down District View (DrillComponent)</t>
        </is>
      </c>
      <c r="D77" s="5" t="inlineStr">
        <is>
          <t>Rows filter by search term</t>
        </is>
      </c>
      <c r="E77" s="5" t="inlineStr">
        <is>
          <t>TestBed with HttpClientTestingModule + mocked DataService/AuthService; component instantiated</t>
        </is>
      </c>
      <c r="F77" s="5" t="inlineStr">
        <is>
          <t>Set searchTerm = 'salem' and call onSearch()</t>
        </is>
      </c>
      <c r="G77" s="5" t="inlineStr">
        <is>
          <t>searchTerm = 'salem'</t>
        </is>
      </c>
      <c r="H77" s="5" t="inlineStr">
        <is>
          <t>filteredRows.length 1 and filteredRows[0].key == 'salem'</t>
        </is>
      </c>
      <c r="I77" s="5" t="inlineStr">
        <is>
          <t>As expected - test passed</t>
        </is>
      </c>
      <c r="J77" s="5" t="inlineStr">
        <is>
          <t>Passed</t>
        </is>
      </c>
      <c r="K77" s="5" t="inlineStr">
        <is>
          <t>Automated (Jasmine/Karma)</t>
        </is>
      </c>
      <c r="L77" s="5" t="inlineStr"/>
      <c r="M77" s="5" t="inlineStr">
        <is>
          <t>Spec: frontend/src/app/modules/drill/drill.component.spec.ts</t>
        </is>
      </c>
    </row>
    <row r="78" ht="64" customHeight="1">
      <c r="A78" s="4" t="inlineStr">
        <is>
          <t>UT-FE-66</t>
        </is>
      </c>
      <c r="B78" s="4" t="inlineStr">
        <is>
          <t>REQ-13</t>
        </is>
      </c>
      <c r="C78" s="4" t="inlineStr">
        <is>
          <t>Drill-Down District View (DrillComponent)</t>
        </is>
      </c>
      <c r="D78" s="4" t="inlineStr">
        <is>
          <t>Extra row metadata keys are returned</t>
        </is>
      </c>
      <c r="E78" s="4" t="inlineStr">
        <is>
          <t>TestBed with HttpClientTestingModule + mocked DataService/AuthService; component instantiated</t>
        </is>
      </c>
      <c r="F78" s="4" t="inlineStr">
        <is>
          <t>Call extraKeys(chennaiRow)</t>
        </is>
      </c>
      <c r="G78" s="4" t="inlineStr">
        <is>
          <t>chennai row extra = {Division, Total}</t>
        </is>
      </c>
      <c r="H78" s="4" t="inlineStr">
        <is>
          <t>Returns ['Division', 'Total']</t>
        </is>
      </c>
      <c r="I78" s="4" t="inlineStr">
        <is>
          <t>As expected - test passed</t>
        </is>
      </c>
      <c r="J78" s="4" t="inlineStr">
        <is>
          <t>Passed</t>
        </is>
      </c>
      <c r="K78" s="4" t="inlineStr">
        <is>
          <t>Automated (Jasmine/Karma)</t>
        </is>
      </c>
      <c r="L78" s="4" t="inlineStr"/>
      <c r="M78" s="4" t="inlineStr">
        <is>
          <t>Spec: frontend/src/app/modules/drill/drill.component.spec.ts</t>
        </is>
      </c>
    </row>
    <row r="79" ht="64" customHeight="1">
      <c r="A79" s="5" t="inlineStr">
        <is>
          <t>UT-FE-67</t>
        </is>
      </c>
      <c r="B79" s="5" t="inlineStr">
        <is>
          <t>REQ-13</t>
        </is>
      </c>
      <c r="C79" s="5" t="inlineStr">
        <is>
          <t>Drill-Down District View (DrillComponent)</t>
        </is>
      </c>
      <c r="D79" s="5" t="inlineStr">
        <is>
          <t>Numbers are formatted with the K suffix</t>
        </is>
      </c>
      <c r="E79" s="5" t="inlineStr">
        <is>
          <t>TestBed with HttpClientTestingModule + mocked DataService/AuthService; component instantiated</t>
        </is>
      </c>
      <c r="F79" s="5" t="inlineStr">
        <is>
          <t>Call formatNum(1500)</t>
        </is>
      </c>
      <c r="G79" s="5" t="inlineStr">
        <is>
          <t>1500</t>
        </is>
      </c>
      <c r="H79" s="5" t="inlineStr">
        <is>
          <t>Returns '1.5K'</t>
        </is>
      </c>
      <c r="I79" s="5" t="inlineStr">
        <is>
          <t>As expected - test passed</t>
        </is>
      </c>
      <c r="J79" s="5" t="inlineStr">
        <is>
          <t>Passed</t>
        </is>
      </c>
      <c r="K79" s="5" t="inlineStr">
        <is>
          <t>Automated (Jasmine/Karma)</t>
        </is>
      </c>
      <c r="L79" s="5" t="inlineStr"/>
      <c r="M79" s="5" t="inlineStr">
        <is>
          <t>Spec: frontend/src/app/modules/drill/drill.component.spec.ts</t>
        </is>
      </c>
    </row>
    <row r="80" ht="64" customHeight="1">
      <c r="A80" s="4" t="inlineStr">
        <is>
          <t>UT-FE-68</t>
        </is>
      </c>
      <c r="B80" s="4" t="inlineStr">
        <is>
          <t>REQ-13</t>
        </is>
      </c>
      <c r="C80" s="4" t="inlineStr">
        <is>
          <t>Drill-Down District View (DrillComponent)</t>
        </is>
      </c>
      <c r="D80" s="4" t="inlineStr">
        <is>
          <t>Back navigates to the overview</t>
        </is>
      </c>
      <c r="E80" s="4" t="inlineStr">
        <is>
          <t>TestBed with HttpClientTestingModule + mocked DataService/AuthService; component instantiated</t>
        </is>
      </c>
      <c r="F80" s="4" t="inlineStr">
        <is>
          <t>Spy on router.navigate and call back()</t>
        </is>
      </c>
      <c r="G80" s="4" t="inlineStr">
        <is>
          <t>No user interaction</t>
        </is>
      </c>
      <c r="H80" s="4" t="inlineStr">
        <is>
          <t>navigate called with ['/overview']</t>
        </is>
      </c>
      <c r="I80" s="4" t="inlineStr">
        <is>
          <t>As expected - test passed</t>
        </is>
      </c>
      <c r="J80" s="4" t="inlineStr">
        <is>
          <t>Passed</t>
        </is>
      </c>
      <c r="K80" s="4" t="inlineStr">
        <is>
          <t>Automated (Jasmine/Karma)</t>
        </is>
      </c>
      <c r="L80" s="4" t="inlineStr"/>
      <c r="M80" s="4" t="inlineStr">
        <is>
          <t>Spec: frontend/src/app/modules/drill/drill.component.spec.ts</t>
        </is>
      </c>
    </row>
    <row r="81" ht="64" customHeight="1">
      <c r="A81" s="5" t="inlineStr">
        <is>
          <t>UT-FE-69</t>
        </is>
      </c>
      <c r="B81" s="5" t="inlineStr">
        <is>
          <t>REQ-10</t>
        </is>
      </c>
      <c r="C81" s="5" t="inlineStr">
        <is>
          <t>Ingestion Dashboard (IngestionDashboardComponent)</t>
        </is>
      </c>
      <c r="D81" s="5" t="inlineStr">
        <is>
          <t>Component initializes successfully</t>
        </is>
      </c>
      <c r="E81" s="5" t="inlineStr">
        <is>
          <t>TestBed with HttpClientTestingModule + mocked DataService/AuthService; component instantiated</t>
        </is>
      </c>
      <c r="F81" s="5" t="inlineStr">
        <is>
          <t>Instantiate component via TestBed and detect changes</t>
        </is>
      </c>
      <c r="G81" s="5" t="inlineStr">
        <is>
          <t>Mocked DataService</t>
        </is>
      </c>
      <c r="H81" s="5" t="inlineStr">
        <is>
          <t>Component instance is created (toBeTruthy)</t>
        </is>
      </c>
      <c r="I81" s="5" t="inlineStr">
        <is>
          <t>As expected - test passed</t>
        </is>
      </c>
      <c r="J81" s="5" t="inlineStr">
        <is>
          <t>Passed</t>
        </is>
      </c>
      <c r="K81" s="5" t="inlineStr">
        <is>
          <t>Automated (Jasmine/Karma)</t>
        </is>
      </c>
      <c r="L81" s="5" t="inlineStr"/>
      <c r="M81" s="5" t="inlineStr">
        <is>
          <t>Spec: frontend/src/app/modules/ingestion-dashboard/ingestion-dashboard.component.spec.ts</t>
        </is>
      </c>
    </row>
    <row r="82" ht="64" customHeight="1">
      <c r="A82" s="4" t="inlineStr">
        <is>
          <t>UT-FE-70</t>
        </is>
      </c>
      <c r="B82" s="4" t="inlineStr">
        <is>
          <t>REQ-10</t>
        </is>
      </c>
      <c r="C82" s="4" t="inlineStr">
        <is>
          <t>Ingestion Dashboard (IngestionDashboardComponent)</t>
        </is>
      </c>
      <c r="D82" s="4" t="inlineStr">
        <is>
          <t>Sync auto-triggers on page load</t>
        </is>
      </c>
      <c r="E82" s="4" t="inlineStr">
        <is>
          <t>TestBed with HttpClientTestingModule + mocked DataService/AuthService; component instantiated</t>
        </is>
      </c>
      <c r="F82" s="4" t="inlineStr">
        <is>
          <t>Detect changes to fire ngOnInit and tick the observable</t>
        </is>
      </c>
      <c r="G82" s="4" t="inlineStr">
        <is>
          <t>mocked triggerIngestionSync -&gt; {success: true, apiStatuses: []}</t>
        </is>
      </c>
      <c r="H82" s="4" t="inlineStr">
        <is>
          <t>triggerIngestionSync called; isSyncing is false</t>
        </is>
      </c>
      <c r="I82" s="4" t="inlineStr">
        <is>
          <t>As expected - test passed</t>
        </is>
      </c>
      <c r="J82" s="4" t="inlineStr">
        <is>
          <t>Passed</t>
        </is>
      </c>
      <c r="K82" s="4" t="inlineStr">
        <is>
          <t>Automated (Jasmine/Karma)</t>
        </is>
      </c>
      <c r="L82" s="4" t="inlineStr"/>
      <c r="M82" s="4" t="inlineStr">
        <is>
          <t>Spec: frontend/src/app/modules/ingestion-dashboard/ingestion-dashboard.component.spec.ts</t>
        </is>
      </c>
    </row>
    <row r="83" ht="64" customHeight="1">
      <c r="A83" s="5" t="inlineStr">
        <is>
          <t>UT-FE-71</t>
        </is>
      </c>
      <c r="B83" s="5" t="inlineStr">
        <is>
          <t>REQ-10</t>
        </is>
      </c>
      <c r="C83" s="5" t="inlineStr">
        <is>
          <t>Ingestion Dashboard (IngestionDashboardComponent)</t>
        </is>
      </c>
      <c r="D83" s="5" t="inlineStr">
        <is>
          <t>Fallback records are mapped when API statuses are empty</t>
        </is>
      </c>
      <c r="E83" s="5" t="inlineStr">
        <is>
          <t>TestBed with HttpClientTestingModule + mocked DataService/AuthService; component instantiated</t>
        </is>
      </c>
      <c r="F83" s="5" t="inlineStr">
        <is>
          <t>Run ngOnInit with an empty apiStatuses list and tick</t>
        </is>
      </c>
      <c r="G83" s="5" t="inlineStr">
        <is>
          <t>apiStatuses = []</t>
        </is>
      </c>
      <c r="H83" s="5" t="inlineStr">
        <is>
          <t>records.length &gt; 0 (fallback table populated)</t>
        </is>
      </c>
      <c r="I83" s="5" t="inlineStr">
        <is>
          <t>As expected - test passed</t>
        </is>
      </c>
      <c r="J83" s="5" t="inlineStr">
        <is>
          <t>Passed</t>
        </is>
      </c>
      <c r="K83" s="5" t="inlineStr">
        <is>
          <t>Automated (Jasmine/Karma)</t>
        </is>
      </c>
      <c r="L83" s="5" t="inlineStr"/>
      <c r="M83" s="5" t="inlineStr">
        <is>
          <t>Spec: frontend/src/app/modules/ingestion-dashboard/ingestion-dashboard.component.spec.ts</t>
        </is>
      </c>
    </row>
    <row r="84" ht="64" customHeight="1">
      <c r="A84" s="4" t="inlineStr">
        <is>
          <t>UT-FE-72</t>
        </is>
      </c>
      <c r="B84" s="4" t="inlineStr">
        <is>
          <t>REQ-15</t>
        </is>
      </c>
      <c r="C84" s="4" t="inlineStr">
        <is>
          <t>Overview / Module Tiles (OverviewComponent)</t>
        </is>
      </c>
      <c r="D84" s="4" t="inlineStr">
        <is>
          <t>Component initializes successfully</t>
        </is>
      </c>
      <c r="E84" s="4" t="inlineStr">
        <is>
          <t>TestBed with HttpClientTestingModule + mocked DataService/AuthService; component instantiated</t>
        </is>
      </c>
      <c r="F84" s="4" t="inlineStr">
        <is>
          <t>Instantiate component via TestBed and detect changes</t>
        </is>
      </c>
      <c r="G84" s="4" t="inlineStr">
        <is>
          <t>Mocked tiles + auth</t>
        </is>
      </c>
      <c r="H84" s="4" t="inlineStr">
        <is>
          <t>Component instance is created (toBeTruthy)</t>
        </is>
      </c>
      <c r="I84" s="4" t="inlineStr">
        <is>
          <t>As expected - test passed</t>
        </is>
      </c>
      <c r="J84" s="4" t="inlineStr">
        <is>
          <t>Passed</t>
        </is>
      </c>
      <c r="K84" s="4" t="inlineStr">
        <is>
          <t>Automated (Jasmine/Karma)</t>
        </is>
      </c>
      <c r="L84" s="4" t="inlineStr"/>
      <c r="M84" s="4" t="inlineStr">
        <is>
          <t>Spec: frontend/src/app/modules/overview/overview.component.spec.ts</t>
        </is>
      </c>
    </row>
    <row r="85" ht="64" customHeight="1">
      <c r="A85" s="5" t="inlineStr">
        <is>
          <t>UT-FE-73</t>
        </is>
      </c>
      <c r="B85" s="5" t="inlineStr">
        <is>
          <t>REQ-15</t>
        </is>
      </c>
      <c r="C85" s="5" t="inlineStr">
        <is>
          <t>Overview / Module Tiles (OverviewComponent)</t>
        </is>
      </c>
      <c r="D85" s="5" t="inlineStr">
        <is>
          <t>All module tiles the user can access are loaded</t>
        </is>
      </c>
      <c r="E85" s="5" t="inlineStr">
        <is>
          <t>TestBed with HttpClientTestingModule + mocked DataService/AuthService; component instantiated</t>
        </is>
      </c>
      <c r="F85" s="5" t="inlineStr">
        <is>
          <t>Create the component and read tiles / visibleTiles</t>
        </is>
      </c>
      <c r="G85" s="5" t="inlineStr">
        <is>
          <t>2 mock tiles (TIPS, TOD)</t>
        </is>
      </c>
      <c r="H85" s="5" t="inlineStr">
        <is>
          <t>tiles.length 2 and visibleTiles.length 2</t>
        </is>
      </c>
      <c r="I85" s="5" t="inlineStr">
        <is>
          <t>As expected - test passed</t>
        </is>
      </c>
      <c r="J85" s="5" t="inlineStr">
        <is>
          <t>Passed</t>
        </is>
      </c>
      <c r="K85" s="5" t="inlineStr">
        <is>
          <t>Automated (Jasmine/Karma)</t>
        </is>
      </c>
      <c r="L85" s="5" t="inlineStr"/>
      <c r="M85" s="5" t="inlineStr">
        <is>
          <t>Spec: frontend/src/app/modules/overview/overview.component.spec.ts</t>
        </is>
      </c>
    </row>
    <row r="86" ht="64" customHeight="1">
      <c r="A86" s="4" t="inlineStr">
        <is>
          <t>UT-FE-74</t>
        </is>
      </c>
      <c r="B86" s="4" t="inlineStr">
        <is>
          <t>REQ-15</t>
        </is>
      </c>
      <c r="C86" s="4" t="inlineStr">
        <is>
          <t>Overview / Module Tiles (OverviewComponent)</t>
        </is>
      </c>
      <c r="D86" s="4" t="inlineStr">
        <is>
          <t>KPI numbers are formatted with K/L suffixes</t>
        </is>
      </c>
      <c r="E86" s="4" t="inlineStr">
        <is>
          <t>TestBed with HttpClientTestingModule + mocked DataService/AuthService; component instantiated</t>
        </is>
      </c>
      <c r="F86" s="4" t="inlineStr">
        <is>
          <t>Call formatNum(500), formatNum(1500), formatNum(150000), formatNum('71/76')</t>
        </is>
      </c>
      <c r="G86" s="4" t="inlineStr">
        <is>
          <t>500, 1500, 150000, '71/76'</t>
        </is>
      </c>
      <c r="H86" s="4" t="inlineStr">
        <is>
          <t>Returns '500', '1.5K', '1.5L', '71/76'</t>
        </is>
      </c>
      <c r="I86" s="4" t="inlineStr">
        <is>
          <t>As expected - test passed</t>
        </is>
      </c>
      <c r="J86" s="4" t="inlineStr">
        <is>
          <t>Passed</t>
        </is>
      </c>
      <c r="K86" s="4" t="inlineStr">
        <is>
          <t>Automated (Jasmine/Karma)</t>
        </is>
      </c>
      <c r="L86" s="4" t="inlineStr"/>
      <c r="M86" s="4" t="inlineStr">
        <is>
          <t>Spec: frontend/src/app/modules/overview/overview.component.spec.ts</t>
        </is>
      </c>
    </row>
    <row r="87" ht="64" customHeight="1">
      <c r="A87" s="5" t="inlineStr">
        <is>
          <t>UT-FE-75</t>
        </is>
      </c>
      <c r="B87" s="5" t="inlineStr">
        <is>
          <t>REQ-15</t>
        </is>
      </c>
      <c r="C87" s="5" t="inlineStr">
        <is>
          <t>Overview / Module Tiles (OverviewComponent)</t>
        </is>
      </c>
      <c r="D87" s="5" t="inlineStr">
        <is>
          <t>Tone maps to the correct CSS class</t>
        </is>
      </c>
      <c r="E87" s="5" t="inlineStr">
        <is>
          <t>TestBed with HttpClientTestingModule + mocked DataService/AuthService; component instantiated</t>
        </is>
      </c>
      <c r="F87" s="5" t="inlineStr">
        <is>
          <t>Call toneClass('ok'), toneClass('bad'), toneClass('unknown')</t>
        </is>
      </c>
      <c r="G87" s="5" t="inlineStr">
        <is>
          <t>tones: ok, bad, unknown</t>
        </is>
      </c>
      <c r="H87" s="5" t="inlineStr">
        <is>
          <t>Returns 'tone-ok', 'tone-bad', 'tone-neutral'</t>
        </is>
      </c>
      <c r="I87" s="5" t="inlineStr">
        <is>
          <t>As expected - test passed</t>
        </is>
      </c>
      <c r="J87" s="5" t="inlineStr">
        <is>
          <t>Passed</t>
        </is>
      </c>
      <c r="K87" s="5" t="inlineStr">
        <is>
          <t>Automated (Jasmine/Karma)</t>
        </is>
      </c>
      <c r="L87" s="5" t="inlineStr"/>
      <c r="M87" s="5" t="inlineStr">
        <is>
          <t>Spec: frontend/src/app/modules/overview/overview.component.spec.ts</t>
        </is>
      </c>
    </row>
    <row r="88" ht="64" customHeight="1">
      <c r="A88" s="4" t="inlineStr">
        <is>
          <t>UT-FE-76</t>
        </is>
      </c>
      <c r="B88" s="4" t="inlineStr">
        <is>
          <t>REQ-15</t>
        </is>
      </c>
      <c r="C88" s="4" t="inlineStr">
        <is>
          <t>Overview / Module Tiles (OverviewComponent)</t>
        </is>
      </c>
      <c r="D88" s="4" t="inlineStr">
        <is>
          <t>Tile click navigates to the drill view</t>
        </is>
      </c>
      <c r="E88" s="4" t="inlineStr">
        <is>
          <t>TestBed with HttpClientTestingModule + mocked DataService/AuthService; component instantiated</t>
        </is>
      </c>
      <c r="F88" s="4" t="inlineStr">
        <is>
          <t>Spy on router.navigate and call openModule(tenderTile)</t>
        </is>
      </c>
      <c r="G88" s="4" t="inlineStr">
        <is>
          <t>tender tile</t>
        </is>
      </c>
      <c r="H88" s="4" t="inlineStr">
        <is>
          <t>navigate called with ['/drill', 'tender']</t>
        </is>
      </c>
      <c r="I88" s="4" t="inlineStr">
        <is>
          <t>As expected - test passed</t>
        </is>
      </c>
      <c r="J88" s="4" t="inlineStr">
        <is>
          <t>Passed</t>
        </is>
      </c>
      <c r="K88" s="4" t="inlineStr">
        <is>
          <t>Automated (Jasmine/Karma)</t>
        </is>
      </c>
      <c r="L88" s="4" t="inlineStr"/>
      <c r="M88" s="4" t="inlineStr">
        <is>
          <t>Spec: frontend/src/app/modules/overview/overview.component.spec.ts</t>
        </is>
      </c>
    </row>
    <row r="89" ht="64" customHeight="1">
      <c r="A89" s="5" t="inlineStr">
        <is>
          <t>UT-FE-77</t>
        </is>
      </c>
      <c r="B89" s="5" t="inlineStr">
        <is>
          <t>REQ-15</t>
        </is>
      </c>
      <c r="C89" s="5" t="inlineStr">
        <is>
          <t>Overview / Module Tiles (OverviewComponent)</t>
        </is>
      </c>
      <c r="D89" s="5" t="inlineStr">
        <is>
          <t>Welcome message returns a time-based greeting</t>
        </is>
      </c>
      <c r="E89" s="5" t="inlineStr">
        <is>
          <t>TestBed with HttpClientTestingModule + mocked DataService/AuthService; component instantiated</t>
        </is>
      </c>
      <c r="F89" s="5" t="inlineStr">
        <is>
          <t>Read the welcomeMsg property</t>
        </is>
      </c>
      <c r="G89" s="5" t="inlineStr">
        <is>
          <t>Time-dependent</t>
        </is>
      </c>
      <c r="H89" s="5" t="inlineStr">
        <is>
          <t>One of 'Good morning' / 'Good afternoon' / 'Good evening'</t>
        </is>
      </c>
      <c r="I89" s="5" t="inlineStr">
        <is>
          <t>As expected - test passed</t>
        </is>
      </c>
      <c r="J89" s="5" t="inlineStr">
        <is>
          <t>Passed</t>
        </is>
      </c>
      <c r="K89" s="5" t="inlineStr">
        <is>
          <t>Automated (Jasmine/Karma)</t>
        </is>
      </c>
      <c r="L89" s="5" t="inlineStr"/>
      <c r="M89" s="5" t="inlineStr">
        <is>
          <t>Spec: frontend/src/app/modules/overview/overview.component.spec.ts</t>
        </is>
      </c>
    </row>
    <row r="90" ht="64" customHeight="1">
      <c r="A90" s="4" t="inlineStr">
        <is>
          <t>UT-FE-78</t>
        </is>
      </c>
      <c r="B90" s="4" t="inlineStr">
        <is>
          <t>REQ-15</t>
        </is>
      </c>
      <c r="C90" s="4" t="inlineStr">
        <is>
          <t>Overview / Module Tiles (OverviewComponent)</t>
        </is>
      </c>
      <c r="D90" s="4" t="inlineStr">
        <is>
          <t>Role label returns the role title</t>
        </is>
      </c>
      <c r="E90" s="4" t="inlineStr">
        <is>
          <t>TestBed with HttpClientTestingModule + mocked DataService/AuthService; component instantiated</t>
        </is>
      </c>
      <c r="F90" s="4" t="inlineStr">
        <is>
          <t>Read the roleLabel property</t>
        </is>
      </c>
      <c r="G90" s="4" t="inlineStr">
        <is>
          <t>role = 'md'</t>
        </is>
      </c>
      <c r="H90" s="4" t="inlineStr">
        <is>
          <t>Returns 'Managing Director'</t>
        </is>
      </c>
      <c r="I90" s="4" t="inlineStr">
        <is>
          <t>As expected - test passed</t>
        </is>
      </c>
      <c r="J90" s="4" t="inlineStr">
        <is>
          <t>Passed</t>
        </is>
      </c>
      <c r="K90" s="4" t="inlineStr">
        <is>
          <t>Automated (Jasmine/Karma)</t>
        </is>
      </c>
      <c r="L90" s="4" t="inlineStr"/>
      <c r="M90" s="4" t="inlineStr">
        <is>
          <t>Spec: frontend/src/app/modules/overview/overview.component.spec.ts</t>
        </is>
      </c>
    </row>
    <row r="91" ht="64" customHeight="1">
      <c r="A91" s="5" t="inlineStr">
        <is>
          <t>UT-FE-79</t>
        </is>
      </c>
      <c r="B91" s="5" t="inlineStr">
        <is>
          <t>REQ-23</t>
        </is>
      </c>
      <c r="C91" s="5" t="inlineStr">
        <is>
          <t>User Master (UserMasterComponent)</t>
        </is>
      </c>
      <c r="D91" s="5" t="inlineStr">
        <is>
          <t>Component initializes successfully</t>
        </is>
      </c>
      <c r="E91" s="5" t="inlineStr">
        <is>
          <t>TestBed with HttpClientTestingModule + mocked DataService/AuthService; component instantiated</t>
        </is>
      </c>
      <c r="F91" s="5" t="inlineStr">
        <is>
          <t>Instantiate component via TestBed and detect changes</t>
        </is>
      </c>
      <c r="G91" s="5" t="inlineStr">
        <is>
          <t>Mocked services</t>
        </is>
      </c>
      <c r="H91" s="5" t="inlineStr">
        <is>
          <t>Component instance is created (toBeTruthy)</t>
        </is>
      </c>
      <c r="I91" s="5" t="inlineStr">
        <is>
          <t>As expected - test passed</t>
        </is>
      </c>
      <c r="J91" s="5" t="inlineStr">
        <is>
          <t>Passed</t>
        </is>
      </c>
      <c r="K91" s="5" t="inlineStr">
        <is>
          <t>Automated (Jasmine/Karma)</t>
        </is>
      </c>
      <c r="L91" s="5" t="inlineStr"/>
      <c r="M91" s="5" t="inlineStr">
        <is>
          <t>Spec: frontend/src/app/modules/user-master/user-master.component.spec.ts</t>
        </is>
      </c>
    </row>
    <row r="92" ht="64" customHeight="1">
      <c r="A92" s="4" t="inlineStr">
        <is>
          <t>UT-FE-80</t>
        </is>
      </c>
      <c r="B92" s="4" t="inlineStr">
        <is>
          <t>REQ-23</t>
        </is>
      </c>
      <c r="C92" s="4" t="inlineStr">
        <is>
          <t>User Master (UserMasterComponent)</t>
        </is>
      </c>
      <c r="D92" s="4" t="inlineStr">
        <is>
          <t>Users load from the auth service</t>
        </is>
      </c>
      <c r="E92" s="4" t="inlineStr">
        <is>
          <t>TestBed with HttpClientTestingModule + mocked DataService/AuthService; component instantiated</t>
        </is>
      </c>
      <c r="F92" s="4" t="inlineStr">
        <is>
          <t>Create the component and wait for the async user load</t>
        </is>
      </c>
      <c r="G92" s="4" t="inlineStr">
        <is>
          <t>Seeded users</t>
        </is>
      </c>
      <c r="H92" s="4" t="inlineStr">
        <is>
          <t>users.length &gt; 0</t>
        </is>
      </c>
      <c r="I92" s="4" t="inlineStr">
        <is>
          <t>As expected - test passed</t>
        </is>
      </c>
      <c r="J92" s="4" t="inlineStr">
        <is>
          <t>Passed</t>
        </is>
      </c>
      <c r="K92" s="4" t="inlineStr">
        <is>
          <t>Automated (Jasmine/Karma)</t>
        </is>
      </c>
      <c r="L92" s="4" t="inlineStr"/>
      <c r="M92" s="4" t="inlineStr">
        <is>
          <t>Spec: frontend/src/app/modules/user-master/user-master.component.spec.ts</t>
        </is>
      </c>
    </row>
    <row r="93" ht="64" customHeight="1">
      <c r="A93" s="5" t="inlineStr">
        <is>
          <t>UT-FE-81</t>
        </is>
      </c>
      <c r="B93" s="5" t="inlineStr">
        <is>
          <t>REQ-23</t>
        </is>
      </c>
      <c r="C93" s="5" t="inlineStr">
        <is>
          <t>User Master (UserMasterComponent)</t>
        </is>
      </c>
      <c r="D93" s="5" t="inlineStr">
        <is>
          <t>Users filter by search term</t>
        </is>
      </c>
      <c r="E93" s="5" t="inlineStr">
        <is>
          <t>TestBed with HttpClientTestingModule + mocked DataService/AuthService; component instantiated</t>
        </is>
      </c>
      <c r="F93" s="5" t="inlineStr">
        <is>
          <t>Set the users list, searchTerm = 'arjun', and call applyFilter()</t>
        </is>
      </c>
      <c r="G93" s="5" t="inlineStr">
        <is>
          <t>user Arjun (role gm)</t>
        </is>
      </c>
      <c r="H93" s="5" t="inlineStr">
        <is>
          <t>filteredUsers.length 1</t>
        </is>
      </c>
      <c r="I93" s="5" t="inlineStr">
        <is>
          <t>As expected - test passed</t>
        </is>
      </c>
      <c r="J93" s="5" t="inlineStr">
        <is>
          <t>Passed</t>
        </is>
      </c>
      <c r="K93" s="5" t="inlineStr">
        <is>
          <t>Automated (Jasmine/Karma)</t>
        </is>
      </c>
      <c r="L93" s="5" t="inlineStr"/>
      <c r="M93" s="5" t="inlineStr">
        <is>
          <t>Spec: frontend/src/app/modules/user-master/user-master.component.spec.ts</t>
        </is>
      </c>
    </row>
    <row r="94" ht="64" customHeight="1">
      <c r="A94" s="4" t="inlineStr">
        <is>
          <t>UT-FE-82</t>
        </is>
      </c>
      <c r="B94" s="4" t="inlineStr">
        <is>
          <t>REQ-23</t>
        </is>
      </c>
      <c r="C94" s="4" t="inlineStr">
        <is>
          <t>User Master (UserMasterComponent)</t>
        </is>
      </c>
      <c r="D94" s="4" t="inlineStr">
        <is>
          <t>Add dialog opens in create mode</t>
        </is>
      </c>
      <c r="E94" s="4" t="inlineStr">
        <is>
          <t>TestBed with HttpClientTestingModule + mocked DataService/AuthService; component instantiated</t>
        </is>
      </c>
      <c r="F94" s="4" t="inlineStr">
        <is>
          <t>Call openAdd()</t>
        </is>
      </c>
      <c r="G94" s="4" t="inlineStr">
        <is>
          <t>No user interaction</t>
        </is>
      </c>
      <c r="H94" s="4" t="inlineStr">
        <is>
          <t>dialogVisible true and isEditMode false</t>
        </is>
      </c>
      <c r="I94" s="4" t="inlineStr">
        <is>
          <t>As expected - test passed</t>
        </is>
      </c>
      <c r="J94" s="4" t="inlineStr">
        <is>
          <t>Passed</t>
        </is>
      </c>
      <c r="K94" s="4" t="inlineStr">
        <is>
          <t>Automated (Jasmine/Karma)</t>
        </is>
      </c>
      <c r="L94" s="4" t="inlineStr"/>
      <c r="M94" s="4" t="inlineStr">
        <is>
          <t>Spec: frontend/src/app/modules/user-master/user-master.component.spec.ts</t>
        </is>
      </c>
    </row>
    <row r="95" ht="64" customHeight="1">
      <c r="A95" s="5" t="inlineStr">
        <is>
          <t>UT-FE-83</t>
        </is>
      </c>
      <c r="B95" s="5" t="inlineStr">
        <is>
          <t>REQ-23</t>
        </is>
      </c>
      <c r="C95" s="5" t="inlineStr">
        <is>
          <t>User Master (UserMasterComponent)</t>
        </is>
      </c>
      <c r="D95" s="5" t="inlineStr">
        <is>
          <t>Role label returns the role title</t>
        </is>
      </c>
      <c r="E95" s="5" t="inlineStr">
        <is>
          <t>TestBed with HttpClientTestingModule + mocked DataService/AuthService; component instantiated</t>
        </is>
      </c>
      <c r="F95" s="5" t="inlineStr">
        <is>
          <t>Call roleLabel('gm')</t>
        </is>
      </c>
      <c r="G95" s="5" t="inlineStr">
        <is>
          <t>role = 'gm'</t>
        </is>
      </c>
      <c r="H95" s="5" t="inlineStr">
        <is>
          <t>Returns 'General Manager'</t>
        </is>
      </c>
      <c r="I95" s="5" t="inlineStr">
        <is>
          <t>As expected - test passed</t>
        </is>
      </c>
      <c r="J95" s="5" t="inlineStr">
        <is>
          <t>Passed</t>
        </is>
      </c>
      <c r="K95" s="5" t="inlineStr">
        <is>
          <t>Automated (Jasmine/Karma)</t>
        </is>
      </c>
      <c r="L95" s="5" t="inlineStr"/>
      <c r="M95" s="5" t="inlineStr">
        <is>
          <t>Spec: frontend/src/app/modules/user-master/user-master.component.spec.ts</t>
        </is>
      </c>
    </row>
  </sheetData>
  <autoFilter ref="A3:M95"/>
  <mergeCells count="2">
    <mergeCell ref="A2:M2"/>
    <mergeCell ref="A1:M1"/>
  </mergeCells>
  <conditionalFormatting sqref="J4:J295">
    <cfRule type="cellIs" priority="1" operator="equal" dxfId="2">
      <formula>"Passed"</formula>
    </cfRule>
    <cfRule type="cellIs" priority="2" operator="equal" dxfId="0">
      <formula>"Failed"</formula>
    </cfRule>
    <cfRule type="cellIs" priority="3" operator="equal" dxfId="1">
      <formula>"Blocked"</formula>
    </cfRule>
    <cfRule type="cellIs" priority="4" operator="equal" dxfId="3">
      <formula>"Not Executed"</formula>
    </cfRule>
    <cfRule type="cellIs" priority="5" operator="equal" dxfId="1">
      <formula>"In Progress"</formula>
    </cfRule>
  </conditionalFormatting>
  <dataValidations count="1">
    <dataValidation sqref="J4:J295" showDropDown="0" showInputMessage="0" showErrorMessage="1" allowBlank="1" errorTitle="Invalid value" error="Please pick a value from the dropdown list." type="list">
      <formula1>"Passed,Failed,Blocked,Not Executed,In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42" customWidth="1" min="4" max="4"/>
    <col width="30" customWidth="1" min="5" max="5"/>
    <col width="46" customWidth="1" min="6" max="6"/>
    <col width="36" customWidth="1" min="7" max="7"/>
    <col width="46" customWidth="1" min="8" max="8"/>
    <col width="26" customWidth="1" min="9" max="9"/>
    <col width="14" customWidth="1" min="10" max="10"/>
    <col width="12" customWidth="1" min="11" max="11"/>
    <col width="12" customWidth="1" min="12" max="12"/>
    <col width="38" customWidth="1" min="13" max="13"/>
  </cols>
  <sheetData>
    <row r="1" ht="26" customHeight="1">
      <c r="A1" s="1" t="inlineStr">
        <is>
          <t>Functional / End-to-End Test Cases - Automated (Playwright) + Manual QA Scripts</t>
        </is>
      </c>
    </row>
    <row r="2" ht="16" customHeight="1">
      <c r="A2" s="2" t="inlineStr">
        <is>
          <t>End-to-end scenarios derived from the real UI flows and API routes: login (all roles), click actions, count-to-detail, mail, detail export (Excel/PDF), notifications, and scheduler configuration. Status/Actual Result reflect the automated Playwright run (e2e_results.json) against the live app; re-run `node e2e/run_e2e.js` and regenerate the workbook to refresh.</t>
        </is>
      </c>
    </row>
    <row r="3" ht="30" customHeight="1">
      <c r="A3" s="7" t="inlineStr">
        <is>
          <t>Test Case ID</t>
        </is>
      </c>
      <c r="B3" s="7" t="inlineStr">
        <is>
          <t>Requirement ID</t>
        </is>
      </c>
      <c r="C3" s="7" t="inlineStr">
        <is>
          <t>Module</t>
        </is>
      </c>
      <c r="D3" s="7" t="inlineStr">
        <is>
          <t>Test Scenario</t>
        </is>
      </c>
      <c r="E3" s="7" t="inlineStr">
        <is>
          <t>Preconditions</t>
        </is>
      </c>
      <c r="F3" s="7" t="inlineStr">
        <is>
          <t>Test Steps</t>
        </is>
      </c>
      <c r="G3" s="7" t="inlineStr">
        <is>
          <t>Test Data</t>
        </is>
      </c>
      <c r="H3" s="7" t="inlineStr">
        <is>
          <t>Expected Result</t>
        </is>
      </c>
      <c r="I3" s="7" t="inlineStr">
        <is>
          <t>Actual Result</t>
        </is>
      </c>
      <c r="J3" s="7" t="inlineStr">
        <is>
          <t>Status</t>
        </is>
      </c>
      <c r="K3" s="7" t="inlineStr">
        <is>
          <t>Tester</t>
        </is>
      </c>
      <c r="L3" s="7" t="inlineStr">
        <is>
          <t>Defect ID</t>
        </is>
      </c>
      <c r="M3" s="7" t="inlineStr">
        <is>
          <t>Remarks</t>
        </is>
      </c>
    </row>
    <row r="4" ht="49.5" customHeight="1">
      <c r="A4" s="4" t="inlineStr">
        <is>
          <t>E2E-01</t>
        </is>
      </c>
      <c r="B4" s="4" t="inlineStr">
        <is>
          <t>REQ-21</t>
        </is>
      </c>
      <c r="C4" s="4" t="inlineStr">
        <is>
          <t>Login / Authentication</t>
        </is>
      </c>
      <c r="D4" s="4" t="inlineStr">
        <is>
          <t>Valid Admin login navigates to Overview</t>
        </is>
      </c>
      <c r="E4" s="4" t="inlineStr">
        <is>
          <t>App is running; admin user seeded</t>
        </is>
      </c>
      <c r="F4" s="4" t="inlineStr">
        <is>
          <t>Open the login page
Enter admin email and password
Click Sign In</t>
        </is>
      </c>
      <c r="G4" s="4" t="inlineStr">
        <is>
          <t>admin@tahdco.in / Password123!</t>
        </is>
      </c>
      <c r="H4" s="4" t="inlineStr">
        <is>
          <t>JWT token stored; redirected to /overview; sidebar shows Admin-visible modules</t>
        </is>
      </c>
      <c r="I4" s="4" t="inlineStr">
        <is>
          <t>Landed on /overview; user pill shows 'System Admin'</t>
        </is>
      </c>
      <c r="J4" s="4" t="inlineStr">
        <is>
          <t>Passed</t>
        </is>
      </c>
      <c r="K4" s="4" t="inlineStr">
        <is>
          <t>Playwright</t>
        </is>
      </c>
      <c r="L4" s="4" t="inlineStr"/>
      <c r="M4" s="4" t="inlineStr">
        <is>
          <t>Role cards on the login screen show admin@tahdco.in (login.component.ts)</t>
        </is>
      </c>
    </row>
    <row r="5" ht="122" customHeight="1">
      <c r="A5" s="5" t="inlineStr">
        <is>
          <t>E2E-02</t>
        </is>
      </c>
      <c r="B5" s="5" t="inlineStr">
        <is>
          <t>REQ-21</t>
        </is>
      </c>
      <c r="C5" s="5" t="inlineStr">
        <is>
          <t>Login / Authentication</t>
        </is>
      </c>
      <c r="D5" s="5" t="inlineStr">
        <is>
          <t>Valid role logins (MD / GM / EE / DM)</t>
        </is>
      </c>
      <c r="E5" s="5" t="inlineStr">
        <is>
          <t>App is running; role users seeded</t>
        </is>
      </c>
      <c r="F5" s="5" t="inlineStr">
        <is>
          <t>For each role: enter credentials
Click Sign In
Verify the landing page</t>
        </is>
      </c>
      <c r="G5" s="5" t="inlineStr">
        <is>
          <t>md@tahdco.in, gm@tahdco.in, ee@tahdco.in, dm@tahdco.in (all / Password123!)</t>
        </is>
      </c>
      <c r="H5" s="5" t="inlineStr">
        <is>
          <t>MD lands on Executive MD Dashboard; GM/EE/DM land on their permitted routes; each sees only modules allowed by role</t>
        </is>
      </c>
      <c r="I5" s="5" t="inlineStr">
        <is>
          <t>All roles authenticated: md:/overview(nav=1); gm:/overview(nav=1); ee:/overview(nav=1); dm:/overview(nav=1); md-dashboard-md-ok (login routes everyone to /overview hub first)</t>
        </is>
      </c>
      <c r="J5" s="5" t="inlineStr">
        <is>
          <t>Passed</t>
        </is>
      </c>
      <c r="K5" s="5" t="inlineStr">
        <is>
          <t>Playwright</t>
        </is>
      </c>
      <c r="L5" s="5" t="inlineStr"/>
      <c r="M5" s="5" t="inlineStr">
        <is>
          <t>Mock users defined in core/services/auth.service.ts</t>
        </is>
      </c>
    </row>
    <row r="6" ht="35" customHeight="1">
      <c r="A6" s="4" t="inlineStr">
        <is>
          <t>E2E-03</t>
        </is>
      </c>
      <c r="B6" s="4" t="inlineStr">
        <is>
          <t>REQ-21</t>
        </is>
      </c>
      <c r="C6" s="4" t="inlineStr">
        <is>
          <t>Login / Authentication</t>
        </is>
      </c>
      <c r="D6" s="4" t="inlineStr">
        <is>
          <t>Role quick-fill buttons populate the form</t>
        </is>
      </c>
      <c r="E6" s="4" t="inlineStr">
        <is>
          <t>Login page is open</t>
        </is>
      </c>
      <c r="F6" s="4" t="inlineStr">
        <is>
          <t>Click the Admin / MD / GM / EE role card</t>
        </is>
      </c>
      <c r="G6" s="4" t="inlineStr">
        <is>
          <t>Any role card</t>
        </is>
      </c>
      <c r="H6" s="4" t="inlineStr">
        <is>
          <t>Email and password fields are auto-filled with that role's credentials</t>
        </is>
      </c>
      <c r="I6" s="4" t="inlineStr">
        <is>
          <t>Role card filled email 'admin@tahdco.in'</t>
        </is>
      </c>
      <c r="J6" s="4" t="inlineStr">
        <is>
          <t>Passed</t>
        </is>
      </c>
      <c r="K6" s="4" t="inlineStr">
        <is>
          <t>Playwright</t>
        </is>
      </c>
      <c r="L6" s="4" t="inlineStr"/>
      <c r="M6" s="4" t="inlineStr">
        <is>
          <t>fillRole() patches the form (login.component.ts)</t>
        </is>
      </c>
    </row>
    <row r="7" ht="93" customHeight="1">
      <c r="A7" s="5" t="inlineStr">
        <is>
          <t>E2E-04</t>
        </is>
      </c>
      <c r="B7" s="5" t="inlineStr">
        <is>
          <t>REQ-21</t>
        </is>
      </c>
      <c r="C7" s="5" t="inlineStr">
        <is>
          <t>Login / Authentication</t>
        </is>
      </c>
      <c r="D7" s="5" t="inlineStr">
        <is>
          <t>Invalid credentials show an error toast</t>
        </is>
      </c>
      <c r="E7" s="5" t="inlineStr">
        <is>
          <t>Login page is open</t>
        </is>
      </c>
      <c r="F7" s="5" t="inlineStr">
        <is>
          <t>Enter an unregistered email / wrong password
Click Sign In</t>
        </is>
      </c>
      <c r="G7" s="5" t="inlineStr">
        <is>
          <t>bad@tahdco.in / wrong</t>
        </is>
      </c>
      <c r="H7" s="5" t="inlineStr">
        <is>
          <t>Toast severity error, summary 'Sign-in failed'; user stays on the login page; no navigation</t>
        </is>
      </c>
      <c r="I7" s="5" t="inlineStr">
        <is>
          <t>Toast shown: 'Sign-in failed
Invalid email or password. Try admin@tahdco.in / Password123!'; stayed on /login</t>
        </is>
      </c>
      <c r="J7" s="5" t="inlineStr">
        <is>
          <t>Passed</t>
        </is>
      </c>
      <c r="K7" s="5" t="inlineStr">
        <is>
          <t>Playwright</t>
        </is>
      </c>
      <c r="L7" s="5" t="inlineStr"/>
      <c r="M7" s="5" t="inlineStr">
        <is>
          <t>Matches the login spec toast assertion (UT-FE-14)</t>
        </is>
      </c>
    </row>
    <row r="8" ht="64" customHeight="1">
      <c r="A8" s="4" t="inlineStr">
        <is>
          <t>E2E-05</t>
        </is>
      </c>
      <c r="B8" s="4" t="inlineStr">
        <is>
          <t>REQ-21</t>
        </is>
      </c>
      <c r="C8" s="4" t="inlineStr">
        <is>
          <t>Login / Authentication</t>
        </is>
      </c>
      <c r="D8" s="4" t="inlineStr">
        <is>
          <t>Empty / malformed fields blocked by validation</t>
        </is>
      </c>
      <c r="E8" s="4" t="inlineStr">
        <is>
          <t>Login page is open</t>
        </is>
      </c>
      <c r="F8" s="4" t="inlineStr">
        <is>
          <t>Try to submit with empty email
Try an invalid email format
Try a password shorter than 6 characters</t>
        </is>
      </c>
      <c r="G8" s="4" t="inlineStr">
        <is>
          <t>'', 'not-an-email', '123'</t>
        </is>
      </c>
      <c r="H8" s="4" t="inlineStr">
        <is>
          <t>Inline errors shown ('Enter your email address' / 'Enter a valid email address'); submit is blocked; auth API is not called</t>
        </is>
      </c>
      <c r="I8" s="4" t="inlineStr">
        <is>
          <t>Validation blocked submit: ["Enter a valid email address"]; stayed on /login</t>
        </is>
      </c>
      <c r="J8" s="4" t="inlineStr">
        <is>
          <t>Passed</t>
        </is>
      </c>
      <c r="K8" s="4" t="inlineStr">
        <is>
          <t>Playwright</t>
        </is>
      </c>
      <c r="L8" s="4" t="inlineStr"/>
      <c r="M8" s="4" t="inlineStr">
        <is>
          <t>Validators.required + email + minLength(6) on the form</t>
        </is>
      </c>
    </row>
    <row r="9" ht="49.5" customHeight="1">
      <c r="A9" s="5" t="inlineStr">
        <is>
          <t>E2E-06</t>
        </is>
      </c>
      <c r="B9" s="5" t="inlineStr">
        <is>
          <t>REQ-21</t>
        </is>
      </c>
      <c r="C9" s="5" t="inlineStr">
        <is>
          <t>Login / Authentication</t>
        </is>
      </c>
      <c r="D9" s="5" t="inlineStr">
        <is>
          <t>Password visibility toggle</t>
        </is>
      </c>
      <c r="E9" s="5" t="inlineStr">
        <is>
          <t>Login page is open</t>
        </is>
      </c>
      <c r="F9" s="5" t="inlineStr">
        <is>
          <t>Type a password
Click the eye icon
Click again</t>
        </is>
      </c>
      <c r="G9" s="5" t="inlineStr">
        <is>
          <t>password = 'Password123!'</t>
        </is>
      </c>
      <c r="H9" s="5" t="inlineStr">
        <is>
          <t>Password is visible after first click and masked again after the second</t>
        </is>
      </c>
      <c r="I9" s="5" t="inlineStr">
        <is>
          <t>Password toggled text &lt;-&gt; password correctly</t>
        </is>
      </c>
      <c r="J9" s="5" t="inlineStr">
        <is>
          <t>Passed</t>
        </is>
      </c>
      <c r="K9" s="5" t="inlineStr">
        <is>
          <t>Playwright</t>
        </is>
      </c>
      <c r="L9" s="5" t="inlineStr"/>
      <c r="M9" s="5" t="inlineStr">
        <is>
          <t>showPwd flag toggles the input type (login.component.ts)</t>
        </is>
      </c>
    </row>
    <row r="10" ht="64" customHeight="1">
      <c r="A10" s="4" t="inlineStr">
        <is>
          <t>E2E-07</t>
        </is>
      </c>
      <c r="B10" s="4" t="inlineStr">
        <is>
          <t>REQ-21</t>
        </is>
      </c>
      <c r="C10" s="4" t="inlineStr">
        <is>
          <t>Login / Authentication</t>
        </is>
      </c>
      <c r="D10" s="4" t="inlineStr">
        <is>
          <t>Logout clears the session and returns to login</t>
        </is>
      </c>
      <c r="E10" s="4" t="inlineStr">
        <is>
          <t>User is logged in</t>
        </is>
      </c>
      <c r="F10" s="4" t="inlineStr">
        <is>
          <t>Click logout in the sidebar
Try to open a protected route again</t>
        </is>
      </c>
      <c r="G10" s="4" t="inlineStr">
        <is>
          <t>Any authenticated role</t>
        </is>
      </c>
      <c r="H10" s="4" t="inlineStr">
        <is>
          <t>Token removed from storage; back on the login page; protected route redirects to login</t>
        </is>
      </c>
      <c r="I10" s="4" t="inlineStr">
        <is>
          <t>Logged out (confirm dialog accepted); token cleared; redirected to /login</t>
        </is>
      </c>
      <c r="J10" s="4" t="inlineStr">
        <is>
          <t>Passed</t>
        </is>
      </c>
      <c r="K10" s="4" t="inlineStr">
        <is>
          <t>Playwright</t>
        </is>
      </c>
      <c r="L10" s="4" t="inlineStr"/>
      <c r="M10" s="4" t="inlineStr">
        <is>
          <t>Route guard + AuthService logout</t>
        </is>
      </c>
    </row>
    <row r="11" ht="35" customHeight="1">
      <c r="A11" s="5" t="inlineStr">
        <is>
          <t>E2E-08</t>
        </is>
      </c>
      <c r="B11" s="5" t="inlineStr">
        <is>
          <t>REQ-21</t>
        </is>
      </c>
      <c r="C11" s="5" t="inlineStr">
        <is>
          <t>Login / Authentication</t>
        </is>
      </c>
      <c r="D11" s="5" t="inlineStr">
        <is>
          <t>Session persists across page refresh</t>
        </is>
      </c>
      <c r="E11" s="5" t="inlineStr">
        <is>
          <t>User is logged in</t>
        </is>
      </c>
      <c r="F11" s="5" t="inlineStr">
        <is>
          <t>Refresh the browser
Reopen a module</t>
        </is>
      </c>
      <c r="G11" s="5" t="inlineStr">
        <is>
          <t>Any authenticated role</t>
        </is>
      </c>
      <c r="H11" s="5" t="inlineStr">
        <is>
          <t>User stays authenticated after refresh (token read from storage); no re-login prompt</t>
        </is>
      </c>
      <c r="I11" s="5" t="inlineStr">
        <is>
          <t>After refresh still authenticated at /overview</t>
        </is>
      </c>
      <c r="J11" s="5" t="inlineStr">
        <is>
          <t>Passed</t>
        </is>
      </c>
      <c r="K11" s="5" t="inlineStr">
        <is>
          <t>Playwright</t>
        </is>
      </c>
      <c r="L11" s="5" t="inlineStr"/>
      <c r="M11" s="5" t="inlineStr">
        <is>
          <t>Token stored in localStorage/sessionStorage</t>
        </is>
      </c>
    </row>
    <row r="12" ht="49.5" customHeight="1">
      <c r="A12" s="4" t="inlineStr">
        <is>
          <t>E2E-09</t>
        </is>
      </c>
      <c r="B12" s="4" t="inlineStr">
        <is>
          <t>REQ-15</t>
        </is>
      </c>
      <c r="C12" s="4" t="inlineStr">
        <is>
          <t>Overview / Module Tiles</t>
        </is>
      </c>
      <c r="D12" s="4" t="inlineStr">
        <is>
          <t>Module tile click opens the drill view</t>
        </is>
      </c>
      <c r="E12" s="4" t="inlineStr">
        <is>
          <t>User logged in with tile access</t>
        </is>
      </c>
      <c r="F12" s="4" t="inlineStr">
        <is>
          <t>On Overview click the TIPS tile</t>
        </is>
      </c>
      <c r="G12" s="4" t="inlineStr">
        <is>
          <t>TIPS tile</t>
        </is>
      </c>
      <c r="H12" s="4" t="inlineStr">
        <is>
          <t>Navigates to /drill/tender and the district drill table loads</t>
        </is>
      </c>
      <c r="I12" s="4" t="inlineStr">
        <is>
          <t>Clicked first of 9 tiles -&gt; navigated to /drill/tender</t>
        </is>
      </c>
      <c r="J12" s="4" t="inlineStr">
        <is>
          <t>Passed</t>
        </is>
      </c>
      <c r="K12" s="4" t="inlineStr">
        <is>
          <t>Playwright</t>
        </is>
      </c>
      <c r="L12" s="4" t="inlineStr"/>
      <c r="M12" s="4" t="inlineStr">
        <is>
          <t>openModule() calls router.navigate(['/drill', key]) (overview.component.ts)</t>
        </is>
      </c>
    </row>
    <row r="13" ht="93" customHeight="1">
      <c r="A13" s="5" t="inlineStr">
        <is>
          <t>E2E-10</t>
        </is>
      </c>
      <c r="B13" s="5" t="inlineStr">
        <is>
          <t>REQ-15</t>
        </is>
      </c>
      <c r="C13" s="5" t="inlineStr">
        <is>
          <t>App Shell / Navigation</t>
        </is>
      </c>
      <c r="D13" s="5" t="inlineStr">
        <is>
          <t>Sidebar navigation across all modules</t>
        </is>
      </c>
      <c r="E13" s="5" t="inlineStr">
        <is>
          <t>User logged in</t>
        </is>
      </c>
      <c r="F13" s="5" t="inlineStr">
        <is>
          <t>Click each sidebar item in turn
Verify the module renders and the active state moves</t>
        </is>
      </c>
      <c r="G13" s="5" t="inlineStr">
        <is>
          <t>All modules visible to the role</t>
        </is>
      </c>
      <c r="H13" s="5" t="inlineStr">
        <is>
          <t>Each click loads the correct module; active menu item is highlighted</t>
        </is>
      </c>
      <c r="I13" s="5" t="inlineStr">
        <is>
          <t>Sidebar has 7 items (Dashboard, AI Engine Analytics, Data Ingestion Engine, User master...); clicked first -&gt; /dashboard-md</t>
        </is>
      </c>
      <c r="J13" s="5" t="inlineStr">
        <is>
          <t>Passed</t>
        </is>
      </c>
      <c r="K13" s="5" t="inlineStr">
        <is>
          <t>Playwright</t>
        </is>
      </c>
      <c r="L13" s="5" t="inlineStr"/>
      <c r="M13" s="5" t="inlineStr">
        <is>
          <t>Shell sidebar (shell.component)</t>
        </is>
      </c>
    </row>
    <row r="14" ht="35" customHeight="1">
      <c r="A14" s="4" t="inlineStr">
        <is>
          <t>E2E-11</t>
        </is>
      </c>
      <c r="B14" s="4" t="inlineStr">
        <is>
          <t>REQ-15</t>
        </is>
      </c>
      <c r="C14" s="4" t="inlineStr">
        <is>
          <t>Drill-Down District View</t>
        </is>
      </c>
      <c r="D14" s="4" t="inlineStr">
        <is>
          <t>Back navigation returns to Overview</t>
        </is>
      </c>
      <c r="E14" s="4" t="inlineStr">
        <is>
          <t>User is on the drill view</t>
        </is>
      </c>
      <c r="F14" s="4" t="inlineStr">
        <is>
          <t>Click the Back button</t>
        </is>
      </c>
      <c r="G14" s="4" t="inlineStr">
        <is>
          <t>No user interaction</t>
        </is>
      </c>
      <c r="H14" s="4" t="inlineStr">
        <is>
          <t>Navigates back to /overview</t>
        </is>
      </c>
      <c r="I14" s="4" t="inlineStr">
        <is>
          <t>Back button returned from drill to /overview</t>
        </is>
      </c>
      <c r="J14" s="4" t="inlineStr">
        <is>
          <t>Passed</t>
        </is>
      </c>
      <c r="K14" s="4" t="inlineStr">
        <is>
          <t>Playwright</t>
        </is>
      </c>
      <c r="L14" s="4" t="inlineStr"/>
      <c r="M14" s="4" t="inlineStr">
        <is>
          <t>back() calls navigate(['/overview']) (drill.component.ts)</t>
        </is>
      </c>
    </row>
    <row r="15" ht="64" customHeight="1">
      <c r="A15" s="5" t="inlineStr">
        <is>
          <t>E2E-12</t>
        </is>
      </c>
      <c r="B15" s="5" t="inlineStr">
        <is>
          <t>REQ-15</t>
        </is>
      </c>
      <c r="C15" s="5" t="inlineStr">
        <is>
          <t>Role Access Control</t>
        </is>
      </c>
      <c r="D15" s="5" t="inlineStr">
        <is>
          <t>Role-based menu visibility and route guard</t>
        </is>
      </c>
      <c r="E15" s="5" t="inlineStr">
        <is>
          <t>Login as an EE user (division level)</t>
        </is>
      </c>
      <c r="F15" s="5" t="inlineStr">
        <is>
          <t>Inspect the sidebar
Try opening the Scheduler and User Master URLs directly</t>
        </is>
      </c>
      <c r="G15" s="5" t="inlineStr">
        <is>
          <t>ee@tahdco.in</t>
        </is>
      </c>
      <c r="H15" s="5" t="inlineStr">
        <is>
          <t>Admin-only items are hidden; direct URL access is blocked by the route guard</t>
        </is>
      </c>
      <c r="I15" s="5" t="inlineStr">
        <is>
          <t>EE menu hides admin items; direct /scheduler-management redirected to /dashboard</t>
        </is>
      </c>
      <c r="J15" s="5" t="inlineStr">
        <is>
          <t>Passed</t>
        </is>
      </c>
      <c r="K15" s="5" t="inlineStr">
        <is>
          <t>Playwright</t>
        </is>
      </c>
      <c r="L15" s="5" t="inlineStr"/>
      <c r="M15" s="5" t="inlineStr">
        <is>
          <t>SchedulerController is [Authorize(Roles = 'admin')]</t>
        </is>
      </c>
    </row>
    <row r="16" ht="122" customHeight="1">
      <c r="A16" s="4" t="inlineStr">
        <is>
          <t>E2E-13</t>
        </is>
      </c>
      <c r="B16" s="4" t="inlineStr">
        <is>
          <t>REQ-13</t>
        </is>
      </c>
      <c r="C16" s="4" t="inlineStr">
        <is>
          <t>Executive MD Dashboard</t>
        </is>
      </c>
      <c r="D16" s="4" t="inlineStr">
        <is>
          <t>Count cell click opens the matching detail grid</t>
        </is>
      </c>
      <c r="E16" s="4" t="inlineStr">
        <is>
          <t>Dashboard shows district counts</t>
        </is>
      </c>
      <c r="F16" s="4" t="inlineStr">
        <is>
          <t>Click a TIPS 'In-progress' count cell
Wait for the detail dialog</t>
        </is>
      </c>
      <c r="G16" s="4" t="inlineStr">
        <is>
          <t>TIPS In-progress cell = e.g. 10</t>
        </is>
      </c>
      <c r="H16" s="4" t="inlineStr">
        <is>
          <t>Detail dialog opens with the name list; number of detail rows equals the clicked count (strict 1:1)</t>
        </is>
      </c>
      <c r="I16" s="4" t="inlineStr">
        <is>
          <t>Clicked 'Chengalpattu' -&gt; inline detail 'TIPS - Detailed Name List [Chengalpattu]'; cell 'Chengalpattu' vs records 'TIPS - Detailed Name List [Chengalpattu]' (not numerically comparable)</t>
        </is>
      </c>
      <c r="J16" s="4" t="inlineStr">
        <is>
          <t>Passed</t>
        </is>
      </c>
      <c r="K16" s="4" t="inlineStr">
        <is>
          <t>Playwright</t>
        </is>
      </c>
      <c r="L16" s="4" t="inlineStr"/>
      <c r="M16" s="4" t="inlineStr">
        <is>
          <t>openDetailList('tips', ...) -&gt; getOneDashboardWorkList (dashboard-md)</t>
        </is>
      </c>
    </row>
    <row r="17" ht="64" customHeight="1">
      <c r="A17" s="5" t="inlineStr">
        <is>
          <t>E2E-14</t>
        </is>
      </c>
      <c r="B17" s="5" t="inlineStr">
        <is>
          <t>REQ-13</t>
        </is>
      </c>
      <c r="C17" s="5" t="inlineStr">
        <is>
          <t>Executive MD Dashboard</t>
        </is>
      </c>
      <c r="D17" s="5" t="inlineStr">
        <is>
          <t>TIME / MBook and Patrol cells pass the right filters</t>
        </is>
      </c>
      <c r="E17" s="5" t="inlineStr">
        <is>
          <t>Dashboard shows district counts</t>
        </is>
      </c>
      <c r="F17" s="5" t="inlineStr">
        <is>
          <t>Click a TIME 'Saved as Mbooknotuploaded' cell
Repeat with a Patrol 'Live' cell</t>
        </is>
      </c>
      <c r="G17" s="5" t="inlineStr">
        <is>
          <t>TIME cell; Patrol Live cell</t>
        </is>
      </c>
      <c r="H17" s="5" t="inlineStr">
        <is>
          <t>TIME detail lists only Saved-as-Mbook-not-uploaded works; Patrol detail lists only Live cameras</t>
        </is>
      </c>
      <c r="I17" s="5" t="inlineStr">
        <is>
          <t>Clicked M-Books cell '3' -&gt; dialog 'TIME - Detailed Name List [Chengalpattu]'</t>
        </is>
      </c>
      <c r="J17" s="5" t="inlineStr">
        <is>
          <t>Passed</t>
        </is>
      </c>
      <c r="K17" s="5" t="inlineStr">
        <is>
          <t>Playwright</t>
        </is>
      </c>
      <c r="L17" s="5" t="inlineStr"/>
      <c r="M17" s="5" t="inlineStr">
        <is>
          <t>openDetailList('time'/'patrol', ...) filters by status/camera list (dashboard-md)</t>
        </is>
      </c>
    </row>
    <row r="18" ht="64" customHeight="1">
      <c r="A18" s="4" t="inlineStr">
        <is>
          <t>E2E-15</t>
        </is>
      </c>
      <c r="B18" s="4" t="inlineStr">
        <is>
          <t>REQ-13</t>
        </is>
      </c>
      <c r="C18" s="4" t="inlineStr">
        <is>
          <t>Executive MD Dashboard</t>
        </is>
      </c>
      <c r="D18" s="4" t="inlineStr">
        <is>
          <t>THMS count click opens the beneficiary list</t>
        </is>
      </c>
      <c r="E18" s="4" t="inlineStr">
        <is>
          <t>Dashboard shows THMS stage counts</t>
        </is>
      </c>
      <c r="F18" s="4" t="inlineStr">
        <is>
          <t>Click a THMS 'Not Started' cell</t>
        </is>
      </c>
      <c r="G18" s="4" t="inlineStr">
        <is>
          <t>THMS Not-Started cell</t>
        </is>
      </c>
      <c r="H18" s="4" t="inlineStr">
        <is>
          <t>Beneficiary detail list opens pre-filtered to the Not Started stage</t>
        </is>
      </c>
      <c r="I18" s="4" t="inlineStr">
        <is>
          <t>Clicked THMS cell 'Kanchipuram' -&gt; inline detail 'THMS - Detailed Name List [Kanchipuram]'</t>
        </is>
      </c>
      <c r="J18" s="4" t="inlineStr">
        <is>
          <t>Passed</t>
        </is>
      </c>
      <c r="K18" s="4" t="inlineStr">
        <is>
          <t>Playwright</t>
        </is>
      </c>
      <c r="L18" s="4" t="inlineStr"/>
      <c r="M18" s="4" t="inlineStr">
        <is>
          <t>openDetailList('thms', ...) -&gt; getThmsBenList (dashboard-md)</t>
        </is>
      </c>
    </row>
    <row r="19" ht="93" customHeight="1">
      <c r="A19" s="5" t="inlineStr">
        <is>
          <t>E2E-16</t>
        </is>
      </c>
      <c r="B19" s="5" t="inlineStr">
        <is>
          <t>REQ-14</t>
        </is>
      </c>
      <c r="C19" s="5" t="inlineStr">
        <is>
          <t>Executive MD Dashboard</t>
        </is>
      </c>
      <c r="D19" s="5" t="inlineStr">
        <is>
          <t>Dashboard filters persist into the detail list</t>
        </is>
      </c>
      <c r="E19" s="5" t="inlineStr">
        <is>
          <t>Dashboard is open</t>
        </is>
      </c>
      <c r="F19" s="5" t="inlineStr">
        <is>
          <t>Set District, Division, and Year filters
Click a count cell
Check the detail list filters</t>
        </is>
      </c>
      <c r="G19" s="5" t="inlineStr">
        <is>
          <t>district = Chennai, year = 2026</t>
        </is>
      </c>
      <c r="H19" s="5" t="inlineStr">
        <is>
          <t>Detail list respects the same filters selected on the dashboard (zero filter loss)</t>
        </is>
      </c>
      <c r="I19" s="5" t="inlineStr">
        <is>
          <t>Detail dialog title 'TIPS - Detailed Name List [Chengalpattu]' - row district 'Chengalpattu' carried into the detail (zero filter loss)</t>
        </is>
      </c>
      <c r="J19" s="5" t="inlineStr">
        <is>
          <t>Passed</t>
        </is>
      </c>
      <c r="K19" s="5" t="inlineStr">
        <is>
          <t>Playwright</t>
        </is>
      </c>
      <c r="L19" s="5" t="inlineStr"/>
      <c r="M19" s="5" t="inlineStr">
        <is>
          <t>REQ-14 - same pattern as the TNCWWB query-params restore spec</t>
        </is>
      </c>
    </row>
    <row r="20" ht="107.5" customHeight="1">
      <c r="A20" s="4" t="inlineStr">
        <is>
          <t>E2E-17</t>
        </is>
      </c>
      <c r="B20" s="4" t="inlineStr">
        <is>
          <t>REQ-13</t>
        </is>
      </c>
      <c r="C20" s="4" t="inlineStr">
        <is>
          <t>Drill-Down District View</t>
        </is>
      </c>
      <c r="D20" s="4" t="inlineStr">
        <is>
          <t>District row click shows segment breakdown</t>
        </is>
      </c>
      <c r="E20" s="4" t="inlineStr">
        <is>
          <t>Drill view is open with district rows</t>
        </is>
      </c>
      <c r="F20" s="4" t="inlineStr">
        <is>
          <t>Click a district row
Inspect the segment bars and detail</t>
        </is>
      </c>
      <c r="G20" s="4" t="inlineStr">
        <is>
          <t>row key = 'salem' (value 80)</t>
        </is>
      </c>
      <c r="H20" s="4" t="inlineStr">
        <is>
          <t>Row is selected; segment percentages and row totals render correctly</t>
        </is>
      </c>
      <c r="I20" s="4" t="inlineStr">
        <is>
          <t xml:space="preserve">locator.click: Timeout 45000ms exceeded.
Call log:
   [2m- waiting for locator('.row-strip').nth(1) [22m
</t>
        </is>
      </c>
      <c r="J20" s="4" t="inlineStr">
        <is>
          <t>Failed</t>
        </is>
      </c>
      <c r="K20" s="4" t="inlineStr">
        <is>
          <t>Playwright</t>
        </is>
      </c>
      <c r="L20" s="4" t="inlineStr">
        <is>
          <t>DEF-E2E-17</t>
        </is>
      </c>
      <c r="M20" s="4" t="inlineStr">
        <is>
          <t>selectRow() + segmentPct() (drill.component.ts)</t>
        </is>
      </c>
    </row>
    <row r="21" ht="64" customHeight="1">
      <c r="A21" s="5" t="inlineStr">
        <is>
          <t>E2E-18</t>
        </is>
      </c>
      <c r="B21" s="5" t="inlineStr">
        <is>
          <t>REQ-01</t>
        </is>
      </c>
      <c r="C21" s="5" t="inlineStr">
        <is>
          <t>Executive MD Dashboard</t>
        </is>
      </c>
      <c r="D21" s="5" t="inlineStr">
        <is>
          <t>Email dialog opens from the master report</t>
        </is>
      </c>
      <c r="E21" s="5" t="inlineStr">
        <is>
          <t>Master report is displayed</t>
        </is>
      </c>
      <c r="F21" s="5" t="inlineStr">
        <is>
          <t>Click the Email button on the report toolbar</t>
        </is>
      </c>
      <c r="G21" s="5" t="inlineStr">
        <is>
          <t>Master report with detail rows</t>
        </is>
      </c>
      <c r="H21" s="5" t="inlineStr">
        <is>
          <t>'Send Detailed List via Email' dialog opens with recipient, subject, and a preview of the first 3 rows</t>
        </is>
      </c>
      <c r="I21" s="5" t="inlineStr">
        <is>
          <t>Email dialog opened: 'Send Detailed List via Email' with recipient + subject + preview</t>
        </is>
      </c>
      <c r="J21" s="5" t="inlineStr">
        <is>
          <t>Passed</t>
        </is>
      </c>
      <c r="K21" s="5" t="inlineStr">
        <is>
          <t>Playwright</t>
        </is>
      </c>
      <c r="L21" s="5" t="inlineStr"/>
      <c r="M21" s="5" t="inlineStr">
        <is>
          <t>sendMailModalVisible + currentDetailDataForMail preview (dashboard-md.component.html)</t>
        </is>
      </c>
    </row>
    <row r="22" ht="64" customHeight="1">
      <c r="A22" s="4" t="inlineStr">
        <is>
          <t>E2E-19</t>
        </is>
      </c>
      <c r="B22" s="4" t="inlineStr">
        <is>
          <t>REQ-01</t>
        </is>
      </c>
      <c r="C22" s="4" t="inlineStr">
        <is>
          <t>Executive MD Dashboard</t>
        </is>
      </c>
      <c r="D22" s="4" t="inlineStr">
        <is>
          <t>Send report email with a valid recipient</t>
        </is>
      </c>
      <c r="E22" s="4" t="inlineStr">
        <is>
          <t>Email dialog is open with detail rows</t>
        </is>
      </c>
      <c r="F22" s="4" t="inlineStr">
        <is>
          <t>Enter a recipient email
Keep the default subject
Click Send</t>
        </is>
      </c>
      <c r="G22" s="4" t="inlineStr">
        <is>
          <t>recipient = director@tahdco.com</t>
        </is>
      </c>
      <c r="H22" s="4" t="inlineStr">
        <is>
          <t>Success toast; POST /api/v1/email/send returns {status:true}; recipient receives an HTML table of the detail rows</t>
        </is>
      </c>
      <c r="I22" s="4" t="inlineStr">
        <is>
          <t>page.waitForResponse: Timeout 20000ms exceeded while waiting for event "response"</t>
        </is>
      </c>
      <c r="J22" s="4" t="inlineStr">
        <is>
          <t>Failed</t>
        </is>
      </c>
      <c r="K22" s="4" t="inlineStr">
        <is>
          <t>Playwright</t>
        </is>
      </c>
      <c r="L22" s="4" t="inlineStr">
        <is>
          <t>DEF-E2E-19</t>
        </is>
      </c>
      <c r="M22" s="4" t="inlineStr">
        <is>
          <t>EmailController.SendEmail validates ToEmail and calls IEmailService</t>
        </is>
      </c>
    </row>
    <row r="23" ht="35" customHeight="1">
      <c r="A23" s="5" t="inlineStr">
        <is>
          <t>E2E-20</t>
        </is>
      </c>
      <c r="B23" s="5" t="inlineStr">
        <is>
          <t>REQ-01</t>
        </is>
      </c>
      <c r="C23" s="5" t="inlineStr">
        <is>
          <t>Executive MD Dashboard</t>
        </is>
      </c>
      <c r="D23" s="5" t="inlineStr">
        <is>
          <t>Email validation blocks an empty recipient</t>
        </is>
      </c>
      <c r="E23" s="5" t="inlineStr">
        <is>
          <t>Email dialog is open</t>
        </is>
      </c>
      <c r="F23" s="5" t="inlineStr">
        <is>
          <t>Clear the recipient field
Click Send</t>
        </is>
      </c>
      <c r="G23" s="5" t="inlineStr">
        <is>
          <t>recipient = ''</t>
        </is>
      </c>
      <c r="H23" s="5" t="inlineStr">
        <is>
          <t>Warning 'Missing Recipient'; no API call is made</t>
        </is>
      </c>
      <c r="I23" s="5" t="inlineStr">
        <is>
          <t>Empty recipient blocked with SweetAlert: '!'</t>
        </is>
      </c>
      <c r="J23" s="5" t="inlineStr">
        <is>
          <t>Passed</t>
        </is>
      </c>
      <c r="K23" s="5" t="inlineStr">
        <is>
          <t>Playwright</t>
        </is>
      </c>
      <c r="L23" s="5" t="inlineStr"/>
      <c r="M23" s="5" t="inlineStr">
        <is>
          <t>Front-end guard + backend 400 'ToEmail is required' (EmailController)</t>
        </is>
      </c>
    </row>
    <row r="24" ht="49.5" customHeight="1">
      <c r="A24" s="4" t="inlineStr">
        <is>
          <t>E2E-21</t>
        </is>
      </c>
      <c r="B24" s="4" t="inlineStr">
        <is>
          <t>REQ-01</t>
        </is>
      </c>
      <c r="C24" s="4" t="inlineStr">
        <is>
          <t>Executive MD Dashboard</t>
        </is>
      </c>
      <c r="D24" s="4" t="inlineStr">
        <is>
          <t>Email payload posts the correct fields</t>
        </is>
      </c>
      <c r="E24" s="4" t="inlineStr">
        <is>
          <t>Email dialog is open</t>
        </is>
      </c>
      <c r="F24" s="4" t="inlineStr">
        <is>
          <t>Open DevTools Network
Send to a recipient
Inspect the request body</t>
        </is>
      </c>
      <c r="G24" s="4" t="inlineStr">
        <is>
          <t>POST /api/v1/email/send</t>
        </is>
      </c>
      <c r="H24" s="4" t="inlineStr">
        <is>
          <t>Body contains ToEmail and Subject matching the dialog fields</t>
        </is>
      </c>
      <c r="I24" s="4" t="inlineStr">
        <is>
          <t>No POST payload captured for /email/send</t>
        </is>
      </c>
      <c r="J24" s="4" t="inlineStr">
        <is>
          <t>Failed</t>
        </is>
      </c>
      <c r="K24" s="4" t="inlineStr">
        <is>
          <t>Playwright</t>
        </is>
      </c>
      <c r="L24" s="4" t="inlineStr">
        <is>
          <t>DEF-E2E-21</t>
        </is>
      </c>
      <c r="M24" s="4" t="inlineStr">
        <is>
          <t>mailRecipient / mailSubject bound to the request (dashboard-md.component.ts)</t>
        </is>
      </c>
    </row>
    <row r="25" ht="35" customHeight="1">
      <c r="A25" s="5" t="inlineStr">
        <is>
          <t>E2E-22</t>
        </is>
      </c>
      <c r="B25" s="5" t="inlineStr">
        <is>
          <t>REQ-18</t>
        </is>
      </c>
      <c r="C25" s="5" t="inlineStr">
        <is>
          <t>Executive MD Dashboard</t>
        </is>
      </c>
      <c r="D25" s="5" t="inlineStr">
        <is>
          <t>Master datatable exports to Excel/CSV</t>
        </is>
      </c>
      <c r="E25" s="5" t="inlineStr">
        <is>
          <t>Master report is displayed</t>
        </is>
      </c>
      <c r="F25" s="5" t="inlineStr">
        <is>
          <t>Click the Export button on the master table</t>
        </is>
      </c>
      <c r="G25" s="5" t="inlineStr">
        <is>
          <t>Master datatable with current filters</t>
        </is>
      </c>
      <c r="H25" s="5" t="inlineStr">
        <is>
          <t>CSV file downloads with headers and all visible rows; opens correctly in Excel</t>
        </is>
      </c>
      <c r="I25" s="5" t="inlineStr">
        <is>
          <t>Downloaded 'TAHDCO_Inline_Detail_2026-08-11.csv'</t>
        </is>
      </c>
      <c r="J25" s="5" t="inlineStr">
        <is>
          <t>Passed</t>
        </is>
      </c>
      <c r="K25" s="5" t="inlineStr">
        <is>
          <t>Playwright</t>
        </is>
      </c>
      <c r="L25" s="5" t="inlineStr"/>
      <c r="M25" s="5" t="inlineStr">
        <is>
          <t>exportModalCSV() -&gt; dtDetail.exportCSV() (PrimeNG)</t>
        </is>
      </c>
    </row>
    <row r="26" ht="49.5" customHeight="1">
      <c r="A26" s="4" t="inlineStr">
        <is>
          <t>E2E-23</t>
        </is>
      </c>
      <c r="B26" s="4" t="inlineStr">
        <is>
          <t>REQ-18</t>
        </is>
      </c>
      <c r="C26" s="4" t="inlineStr">
        <is>
          <t>Executive MD Dashboard</t>
        </is>
      </c>
      <c r="D26" s="4" t="inlineStr">
        <is>
          <t>Inline detail grid exports to Excel</t>
        </is>
      </c>
      <c r="E26" s="4" t="inlineStr">
        <is>
          <t>A detail dialog is open</t>
        </is>
      </c>
      <c r="F26" s="4" t="inlineStr">
        <is>
          <t>Click the Excel (pi-file-excel) button on the detail grid</t>
        </is>
      </c>
      <c r="G26" s="4" t="inlineStr">
        <is>
          <t>Any of the 6 inline detail grids</t>
        </is>
      </c>
      <c r="H26" s="4" t="inlineStr">
        <is>
          <t>CSV downloads containing only that detail grid's rows</t>
        </is>
      </c>
      <c r="I26" s="4" t="inlineStr">
        <is>
          <t>Inline grid exported 'TAHDCO_Inline_Detail_2026-08-11.csv'</t>
        </is>
      </c>
      <c r="J26" s="4" t="inlineStr">
        <is>
          <t>Passed</t>
        </is>
      </c>
      <c r="K26" s="4" t="inlineStr">
        <is>
          <t>Playwright</t>
        </is>
      </c>
      <c r="L26" s="4" t="inlineStr"/>
      <c r="M26" s="4" t="inlineStr">
        <is>
          <t>exportInlineCSV(table) on each detail grid (dashboard-md)</t>
        </is>
      </c>
    </row>
    <row r="27" ht="49.5" customHeight="1">
      <c r="A27" s="5" t="inlineStr">
        <is>
          <t>E2E-24</t>
        </is>
      </c>
      <c r="B27" s="5" t="inlineStr">
        <is>
          <t>REQ-18</t>
        </is>
      </c>
      <c r="C27" s="5" t="inlineStr">
        <is>
          <t>Executive MD Dashboard</t>
        </is>
      </c>
      <c r="D27" s="5" t="inlineStr">
        <is>
          <t>Detail dialog exports to PDF</t>
        </is>
      </c>
      <c r="E27" s="5" t="inlineStr">
        <is>
          <t>A detail dialog is open</t>
        </is>
      </c>
      <c r="F27" s="5" t="inlineStr">
        <is>
          <t>Click the PDF export button</t>
        </is>
      </c>
      <c r="G27" s="5" t="inlineStr">
        <is>
          <t>Detail dialog with rows</t>
        </is>
      </c>
      <c r="H27" s="5" t="inlineStr">
        <is>
          <t>PDF file downloads with the report title and formatted table</t>
        </is>
      </c>
      <c r="I27" s="5" t="inlineStr">
        <is>
          <t>PDF export downloaded 'TAHDCO_Strategic_Report_tips-time_2026-08-11.pdf'</t>
        </is>
      </c>
      <c r="J27" s="5" t="inlineStr">
        <is>
          <t>Passed</t>
        </is>
      </c>
      <c r="K27" s="5" t="inlineStr">
        <is>
          <t>Playwright</t>
        </is>
      </c>
      <c r="L27" s="5" t="inlineStr"/>
      <c r="M27" s="5" t="inlineStr">
        <is>
          <t>exportPDF() (dashboard-md.component.ts, line 2113)</t>
        </is>
      </c>
    </row>
    <row r="28" ht="78.5" customHeight="1">
      <c r="A28" s="4" t="inlineStr">
        <is>
          <t>E2E-25</t>
        </is>
      </c>
      <c r="B28" s="4" t="inlineStr">
        <is>
          <t>REQ-18</t>
        </is>
      </c>
      <c r="C28" s="4" t="inlineStr">
        <is>
          <t>Report Export API</t>
        </is>
      </c>
      <c r="D28" s="4" t="inlineStr">
        <is>
          <t>Backend PDF endpoints generate valid reports</t>
        </is>
      </c>
      <c r="E28" s="4" t="inlineStr">
        <is>
          <t>API is running; user has a JWT</t>
        </is>
      </c>
      <c r="F28" s="4" t="inlineStr">
        <is>
          <t>GET /api/v1/reports/tender.pdf
GET /api/v1/reports/tncwwb.pdf</t>
        </is>
      </c>
      <c r="G28" s="4" t="inlineStr">
        <is>
          <t>tender and tncwwb report scopes</t>
        </is>
      </c>
      <c r="H28" s="4" t="inlineStr">
        <is>
          <t>Both return a valid PDF document (QuestPDF), downloadable</t>
        </is>
      </c>
      <c r="I28" s="4" t="inlineStr">
        <is>
          <t>/api/v1/reports/tender.pdf -&gt; 200 (application/pdf); /api/v1/reports/tncwwb.pdf -&gt; 200 (application/pdf)</t>
        </is>
      </c>
      <c r="J28" s="4" t="inlineStr">
        <is>
          <t>Passed</t>
        </is>
      </c>
      <c r="K28" s="4" t="inlineStr">
        <is>
          <t>Playwright</t>
        </is>
      </c>
      <c r="L28" s="4" t="inlineStr"/>
      <c r="M28" s="4" t="inlineStr">
        <is>
          <t>ReportsController (backend/API/Controllers)</t>
        </is>
      </c>
    </row>
    <row r="29" ht="49.5" customHeight="1">
      <c r="A29" s="5" t="inlineStr">
        <is>
          <t>E2E-26</t>
        </is>
      </c>
      <c r="B29" s="5" t="inlineStr">
        <is>
          <t>REQ-19</t>
        </is>
      </c>
      <c r="C29" s="5" t="inlineStr">
        <is>
          <t>System Notifications</t>
        </is>
      </c>
      <c r="D29" s="5" t="inlineStr">
        <is>
          <t>Notifications modal opens and loads the list</t>
        </is>
      </c>
      <c r="E29" s="5" t="inlineStr">
        <is>
          <t>User logged in</t>
        </is>
      </c>
      <c r="F29" s="5" t="inlineStr">
        <is>
          <t>Click the bell icon in the header</t>
        </is>
      </c>
      <c r="G29" s="5" t="inlineStr">
        <is>
          <t>No user interaction</t>
        </is>
      </c>
      <c r="H29" s="5" t="inlineStr">
        <is>
          <t>'System Notifications &amp; Alerts' modal opens; notifications list with project, frequency, status, subject, and sent time</t>
        </is>
      </c>
      <c r="I29" s="5" t="inlineStr">
        <is>
          <t>Notifications modal opened with 100 alerts</t>
        </is>
      </c>
      <c r="J29" s="5" t="inlineStr">
        <is>
          <t>Passed</t>
        </is>
      </c>
      <c r="K29" s="5" t="inlineStr">
        <is>
          <t>Playwright</t>
        </is>
      </c>
      <c r="L29" s="5" t="inlineStr"/>
      <c r="M29" s="5" t="inlineStr">
        <is>
          <t>openNotifications() -&gt; loadNotifications() (shell.component.ts)</t>
        </is>
      </c>
    </row>
    <row r="30" ht="49.5" customHeight="1">
      <c r="A30" s="4" t="inlineStr">
        <is>
          <t>E2E-27</t>
        </is>
      </c>
      <c r="B30" s="4" t="inlineStr">
        <is>
          <t>REQ-19</t>
        </is>
      </c>
      <c r="C30" s="4" t="inlineStr">
        <is>
          <t>System Notifications</t>
        </is>
      </c>
      <c r="D30" s="4" t="inlineStr">
        <is>
          <t>Filter by project / frequency / status</t>
        </is>
      </c>
      <c r="E30" s="4" t="inlineStr">
        <is>
          <t>Notifications modal is open</t>
        </is>
      </c>
      <c r="F30" s="4" t="inlineStr">
        <is>
          <t>Set Project = TIPS TIME, Frequency = Daily, Status = In Progress
Review the list</t>
        </is>
      </c>
      <c r="G30" s="4" t="inlineStr">
        <is>
          <t>project=TIPS TIME, frequency=Daily, status=In Progress</t>
        </is>
      </c>
      <c r="H30" s="4" t="inlineStr">
        <is>
          <t>List is filtered to matching notifications</t>
        </is>
      </c>
      <c r="I30" s="4" t="inlineStr">
        <is>
          <t>Filtered by project=TELP: 0 card(s) (empty state)</t>
        </is>
      </c>
      <c r="J30" s="4" t="inlineStr">
        <is>
          <t>Passed</t>
        </is>
      </c>
      <c r="K30" s="4" t="inlineStr">
        <is>
          <t>Playwright</t>
        </is>
      </c>
      <c r="L30" s="4" t="inlineStr"/>
      <c r="M30" s="4" t="inlineStr">
        <is>
          <t>GET /api/v1/notifications?project=&amp;frequency=&amp;status=&amp;search=</t>
        </is>
      </c>
    </row>
    <row r="31" ht="35" customHeight="1">
      <c r="A31" s="5" t="inlineStr">
        <is>
          <t>E2E-28</t>
        </is>
      </c>
      <c r="B31" s="5" t="inlineStr">
        <is>
          <t>REQ-19</t>
        </is>
      </c>
      <c r="C31" s="5" t="inlineStr">
        <is>
          <t>System Notifications</t>
        </is>
      </c>
      <c r="D31" s="5" t="inlineStr">
        <is>
          <t>Search within notifications</t>
        </is>
      </c>
      <c r="E31" s="5" t="inlineStr">
        <is>
          <t>Notifications modal is open</t>
        </is>
      </c>
      <c r="F31" s="5" t="inlineStr">
        <is>
          <t>Type 'TELP' in the search box</t>
        </is>
      </c>
      <c r="G31" s="5" t="inlineStr">
        <is>
          <t>search = 'TELP'</t>
        </is>
      </c>
      <c r="H31" s="5" t="inlineStr">
        <is>
          <t>Only notifications whose subject/message/project match 'TELP' remain</t>
        </is>
      </c>
      <c r="I31" s="5" t="inlineStr">
        <is>
          <t>Search 'TELP': 0 matching card(s) (empty state)</t>
        </is>
      </c>
      <c r="J31" s="5" t="inlineStr">
        <is>
          <t>Passed</t>
        </is>
      </c>
      <c r="K31" s="5" t="inlineStr">
        <is>
          <t>Playwright</t>
        </is>
      </c>
      <c r="L31" s="5" t="inlineStr"/>
      <c r="M31" s="5" t="inlineStr">
        <is>
          <t>notifSearchText filter (shell.component)</t>
        </is>
      </c>
    </row>
    <row r="32" ht="35" customHeight="1">
      <c r="A32" s="4" t="inlineStr">
        <is>
          <t>E2E-29</t>
        </is>
      </c>
      <c r="B32" s="4" t="inlineStr">
        <is>
          <t>REQ-19</t>
        </is>
      </c>
      <c r="C32" s="4" t="inlineStr">
        <is>
          <t>System Notifications</t>
        </is>
      </c>
      <c r="D32" s="4" t="inlineStr">
        <is>
          <t>Modal closes cleanly and reopens</t>
        </is>
      </c>
      <c r="E32" s="4" t="inlineStr">
        <is>
          <t>Notifications modal is open</t>
        </is>
      </c>
      <c r="F32" s="4" t="inlineStr">
        <is>
          <t>Close the modal
Reopen it</t>
        </is>
      </c>
      <c r="G32" s="4" t="inlineStr">
        <is>
          <t>No user interaction</t>
        </is>
      </c>
      <c r="H32" s="4" t="inlineStr">
        <is>
          <t>Modal closes; reopening loads a fresh list without errors</t>
        </is>
      </c>
      <c r="I32" s="4" t="inlineStr">
        <is>
          <t>Notifications dialog closed and reopened cleanly</t>
        </is>
      </c>
      <c r="J32" s="4" t="inlineStr">
        <is>
          <t>Passed</t>
        </is>
      </c>
      <c r="K32" s="4" t="inlineStr">
        <is>
          <t>Playwright</t>
        </is>
      </c>
      <c r="L32" s="4" t="inlineStr"/>
      <c r="M32" s="4" t="inlineStr">
        <is>
          <t>Notification modal in shell.component.html</t>
        </is>
      </c>
    </row>
    <row r="33" ht="93" customHeight="1">
      <c r="A33" s="5" t="inlineStr">
        <is>
          <t>E2E-30</t>
        </is>
      </c>
      <c r="B33" s="5" t="inlineStr">
        <is>
          <t>REQ-10</t>
        </is>
      </c>
      <c r="C33" s="5" t="inlineStr">
        <is>
          <t>Scheduler Management</t>
        </is>
      </c>
      <c r="D33" s="5" t="inlineStr">
        <is>
          <t>Job list loads with the 14 default jobs</t>
        </is>
      </c>
      <c r="E33" s="5" t="inlineStr">
        <is>
          <t>Login as admin; scheduler DB empty on first run</t>
        </is>
      </c>
      <c r="F33" s="5" t="inlineStr">
        <is>
          <t>Open Scheduler Management</t>
        </is>
      </c>
      <c r="G33" s="5" t="inlineStr">
        <is>
          <t>First run seeds defaults</t>
        </is>
      </c>
      <c r="H33" s="5" t="inlineStr">
        <is>
          <t>14 jobs listed (TELP, Tahdco Scheme, TIME+Patrol360, THMS, TAMS, One Portal, TOD - COUNT + DETAIL pairs) with name, API URL, method, cron, active flag, last-run status</t>
        </is>
      </c>
      <c r="I33" s="5" t="inlineStr">
        <is>
          <t>2 configured jobs · Admin only; sample job project 'TIPS' (dev DB currently has 2 jobs - defaults seed only on first empty run)</t>
        </is>
      </c>
      <c r="J33" s="5" t="inlineStr">
        <is>
          <t>Passed</t>
        </is>
      </c>
      <c r="K33" s="5" t="inlineStr">
        <is>
          <t>Playwright</t>
        </is>
      </c>
      <c r="L33" s="5" t="inlineStr"/>
      <c r="M33" s="5" t="inlineStr">
        <is>
          <t>GetJobs() seeds GetDefaultFallbackJobs() (SchedulerController)</t>
        </is>
      </c>
    </row>
    <row r="34" ht="93" customHeight="1">
      <c r="A34" s="4" t="inlineStr">
        <is>
          <t>E2E-31</t>
        </is>
      </c>
      <c r="B34" s="4" t="inlineStr">
        <is>
          <t>REQ-11</t>
        </is>
      </c>
      <c r="C34" s="4" t="inlineStr">
        <is>
          <t>Scheduler Management</t>
        </is>
      </c>
      <c r="D34" s="4" t="inlineStr">
        <is>
          <t>Preset selector pre-populates the job form</t>
        </is>
      </c>
      <c r="E34" s="4" t="inlineStr">
        <is>
          <t>Admin on the create-job dialog</t>
        </is>
      </c>
      <c r="F34" s="4" t="inlineStr">
        <is>
          <t>Pick a preset from the selector</t>
        </is>
      </c>
      <c r="G34" s="4" t="inlineStr">
        <is>
          <t>Any preset (e.g. TELP Application Summary)</t>
        </is>
      </c>
      <c r="H34" s="4" t="inlineStr">
        <is>
          <t>Job Name, API URL, HTTP method, and JSON payload auto-fill</t>
        </is>
      </c>
      <c r="I34" s="4" t="inlineStr">
        <is>
          <t>Preset filled Job Name 'TELP - Application Summary (COUNT)' and URL 'https://qatelp.pixous.info/api/Report/DistrictWise_ApplicationSummary'</t>
        </is>
      </c>
      <c r="J34" s="4" t="inlineStr">
        <is>
          <t>Passed</t>
        </is>
      </c>
      <c r="K34" s="4" t="inlineStr">
        <is>
          <t>Playwright</t>
        </is>
      </c>
      <c r="L34" s="4" t="inlineStr"/>
      <c r="M34" s="4" t="inlineStr">
        <is>
          <t>REQ-11 1-click preset templates</t>
        </is>
      </c>
    </row>
    <row r="35" ht="107.5" customHeight="1">
      <c r="A35" s="5" t="inlineStr">
        <is>
          <t>E2E-32</t>
        </is>
      </c>
      <c r="B35" s="5" t="inlineStr">
        <is>
          <t>REQ-10</t>
        </is>
      </c>
      <c r="C35" s="5" t="inlineStr">
        <is>
          <t>Scheduler Management</t>
        </is>
      </c>
      <c r="D35" s="5" t="inlineStr">
        <is>
          <t>Create a new scheduler job</t>
        </is>
      </c>
      <c r="E35" s="5" t="inlineStr">
        <is>
          <t>Admin on the create-job dialog</t>
        </is>
      </c>
      <c r="F35" s="5" t="inlineStr">
        <is>
          <t>Fill name, URL, method, payload, cron
Set Active
Save</t>
        </is>
      </c>
      <c r="G35" s="5" t="inlineStr">
        <is>
          <t>name = 'THMS - District Count', cron = '0 4 * * *'</t>
        </is>
      </c>
      <c r="H35" s="5" t="inlineStr">
        <is>
          <t>Job persisted (POST /api/v1/scheduler/jobs); active job registered in Hangfire as dynamic-job-{id}</t>
        </is>
      </c>
      <c r="I35" s="5" t="inlineStr">
        <is>
          <t>Created 'E2E Test Job' (POST /api/v1/scheduler/jobs); toast 'Saved
Job "E2E Test Job" created successfully. | Saved
Job "E2E Test Job" created successfully.'</t>
        </is>
      </c>
      <c r="J35" s="5" t="inlineStr">
        <is>
          <t>Passed</t>
        </is>
      </c>
      <c r="K35" s="5" t="inlineStr">
        <is>
          <t>Playwright</t>
        </is>
      </c>
      <c r="L35" s="5" t="inlineStr"/>
      <c r="M35" s="5" t="inlineStr">
        <is>
          <t>CreateJob() registers the recurring job (SchedulerController)</t>
        </is>
      </c>
    </row>
    <row r="36" ht="107.5" customHeight="1">
      <c r="A36" s="4" t="inlineStr">
        <is>
          <t>E2E-33</t>
        </is>
      </c>
      <c r="B36" s="4" t="inlineStr">
        <is>
          <t>REQ-10</t>
        </is>
      </c>
      <c r="C36" s="4" t="inlineStr">
        <is>
          <t>Scheduler Management</t>
        </is>
      </c>
      <c r="D36" s="4" t="inlineStr">
        <is>
          <t>Edit and toggle a job's active state</t>
        </is>
      </c>
      <c r="E36" s="4" t="inlineStr">
        <is>
          <t>A job exists</t>
        </is>
      </c>
      <c r="F36" s="4" t="inlineStr">
        <is>
          <t>Change the cron expression
Toggle Active off
Save</t>
        </is>
      </c>
      <c r="G36" s="4" t="inlineStr">
        <is>
          <t>cron changed; is_active = false</t>
        </is>
      </c>
      <c r="H36" s="4" t="inlineStr">
        <is>
          <t>Changes saved (PUT /jobs/{id}); Hangfire schedule updated or removed when deactivated</t>
        </is>
      </c>
      <c r="I36" s="4" t="inlineStr">
        <is>
          <t>Edited 'E2E Test Job' (cron -&gt; 5 5 * * *); toast 'Saved
Job "E2E Test Job" updated successfully. | Saved
Job "E2E Test Job" updated successfully.'</t>
        </is>
      </c>
      <c r="J36" s="4" t="inlineStr">
        <is>
          <t>Passed</t>
        </is>
      </c>
      <c r="K36" s="4" t="inlineStr">
        <is>
          <t>Playwright</t>
        </is>
      </c>
      <c r="L36" s="4" t="inlineStr"/>
      <c r="M36" s="4" t="inlineStr">
        <is>
          <t>UpdateJob() AddOrUpdate / RemoveIfExists</t>
        </is>
      </c>
    </row>
    <row r="37" ht="151" customHeight="1">
      <c r="A37" s="5" t="inlineStr">
        <is>
          <t>E2E-34</t>
        </is>
      </c>
      <c r="B37" s="5" t="inlineStr">
        <is>
          <t>REQ-10</t>
        </is>
      </c>
      <c r="C37" s="5" t="inlineStr">
        <is>
          <t>Scheduler Management</t>
        </is>
      </c>
      <c r="D37" s="5" t="inlineStr">
        <is>
          <t>Run Now triggers the job</t>
        </is>
      </c>
      <c r="E37" s="5" t="inlineStr">
        <is>
          <t>A job exists</t>
        </is>
      </c>
      <c r="F37" s="5" t="inlineStr">
        <is>
          <t>Click Run on a job
Wait for the run to complete
Check last-run status</t>
        </is>
      </c>
      <c r="G37" s="5" t="inlineStr">
        <is>
          <t>job id = e.g. 1</t>
        </is>
      </c>
      <c r="H37" s="5" t="inlineStr">
        <is>
          <t>POST /api/v1/scheduler/jobs/{id}/run returns 'Job triggered'; last-run status/message update after execution</t>
        </is>
      </c>
      <c r="I37" s="5" t="inlineStr">
        <is>
          <t>Run Now fired POST /jobs/{id}/run; toast 'Triggered
"E2E Test Job" is now running. Refresh after a moment to see status. | Triggered
"E2E Test Job" is now running. Refresh after a moment to see status.'</t>
        </is>
      </c>
      <c r="J37" s="5" t="inlineStr">
        <is>
          <t>Passed</t>
        </is>
      </c>
      <c r="K37" s="5" t="inlineStr">
        <is>
          <t>Playwright</t>
        </is>
      </c>
      <c r="L37" s="5" t="inlineStr"/>
      <c r="M37" s="5" t="inlineStr">
        <is>
          <t>RunNow() enqueues DynamicSchedulerJob</t>
        </is>
      </c>
    </row>
    <row r="38" ht="93" customHeight="1">
      <c r="A38" s="4" t="inlineStr">
        <is>
          <t>E2E-35</t>
        </is>
      </c>
      <c r="B38" s="4" t="inlineStr">
        <is>
          <t>REQ-10</t>
        </is>
      </c>
      <c r="C38" s="4" t="inlineStr">
        <is>
          <t>Scheduler Management</t>
        </is>
      </c>
      <c r="D38" s="4" t="inlineStr">
        <is>
          <t>Delete a job</t>
        </is>
      </c>
      <c r="E38" s="4" t="inlineStr">
        <is>
          <t>A job exists</t>
        </is>
      </c>
      <c r="F38" s="4" t="inlineStr">
        <is>
          <t>Delete the job
Reopen the list</t>
        </is>
      </c>
      <c r="G38" s="4" t="inlineStr">
        <is>
          <t>job id = e.g. 1</t>
        </is>
      </c>
      <c r="H38" s="4" t="inlineStr">
        <is>
          <t>Job removed from the list (DELETE /jobs/{id}) and its Hangfire registration is removed</t>
        </is>
      </c>
      <c r="I38" s="4" t="inlineStr">
        <is>
          <t>Deleted 'E2E Test Job'; toast 'Deleted
"E2E Test Job" removed. | Deleted
"E2E Test Job" removed.'; card removed from list</t>
        </is>
      </c>
      <c r="J38" s="4" t="inlineStr">
        <is>
          <t>Passed</t>
        </is>
      </c>
      <c r="K38" s="4" t="inlineStr">
        <is>
          <t>Playwright</t>
        </is>
      </c>
      <c r="L38" s="4" t="inlineStr"/>
      <c r="M38" s="4" t="inlineStr">
        <is>
          <t>DeleteJob() + RemoveIfExists</t>
        </is>
      </c>
    </row>
    <row r="39" ht="49.5" customHeight="1">
      <c r="A39" s="5" t="inlineStr">
        <is>
          <t>E2E-36</t>
        </is>
      </c>
      <c r="B39" s="5" t="inlineStr">
        <is>
          <t>REQ-15</t>
        </is>
      </c>
      <c r="C39" s="5" t="inlineStr">
        <is>
          <t>Scheduler Management</t>
        </is>
      </c>
      <c r="D39" s="5" t="inlineStr">
        <is>
          <t>Non-admin users cannot access the scheduler</t>
        </is>
      </c>
      <c r="E39" s="5" t="inlineStr">
        <is>
          <t>Login as MD (not admin)</t>
        </is>
      </c>
      <c r="F39" s="5" t="inlineStr">
        <is>
          <t>Look for Scheduler in the menu
Try GET /api/v1/scheduler/jobs directly</t>
        </is>
      </c>
      <c r="G39" s="5" t="inlineStr">
        <is>
          <t>md@tahdco.in</t>
        </is>
      </c>
      <c r="H39" s="5" t="inlineStr">
        <is>
          <t>Menu item hidden; direct API call returns 403 Forbidden</t>
        </is>
      </c>
      <c r="I39" s="5" t="inlineStr">
        <is>
          <t>UI redirected to /dashboard; API /scheduler/jobs -&gt; 403 for non-admin</t>
        </is>
      </c>
      <c r="J39" s="5" t="inlineStr">
        <is>
          <t>Passed</t>
        </is>
      </c>
      <c r="K39" s="5" t="inlineStr">
        <is>
          <t>Playwright</t>
        </is>
      </c>
      <c r="L39" s="5" t="inlineStr"/>
      <c r="M39" s="5" t="inlineStr">
        <is>
          <t>[Authorize(Roles = 'admin')] on SchedulerController</t>
        </is>
      </c>
    </row>
    <row r="40" ht="160" customHeight="1">
      <c r="A40" s="4" t="inlineStr">
        <is>
          <t>E2E-37</t>
        </is>
      </c>
      <c r="B40" s="4" t="inlineStr">
        <is>
          <t>REQ-13</t>
        </is>
      </c>
      <c r="C40" s="4" t="inlineStr">
        <is>
          <t>Executive MD Dashboard</t>
        </is>
      </c>
      <c r="D40" s="4" t="inlineStr">
        <is>
          <t>TAMS count click opens the matching detail grid (real data)</t>
        </is>
      </c>
      <c r="E40" s="4" t="inlineStr">
        <is>
          <t>TAMS card selected under Welfare; district counts loaded</t>
        </is>
      </c>
      <c r="F40" s="4" t="inlineStr">
        <is>
          <t>Click the TAMS card
Click a district count cell
Verify the inline detail grid shows real records</t>
        </is>
      </c>
      <c r="G40" s="4" t="inlineStr">
        <is>
          <t>Kancheepuram district</t>
        </is>
      </c>
      <c r="H40" s="4" t="inlineStr">
        <is>
          <t>Detail grid shows the district's real institute/course records (not placeholder names)</t>
        </is>
      </c>
      <c r="I40" s="4" t="inlineStr">
        <is>
          <t>Live-verified 11-Aug-2026: TAMS card -&gt; Kancheepuram count cell -&gt; detail grid shows real institute records (Government ITI, Kanchipuram | Electrician | Completed | 38 students | 73.7% attendance | Poor) via POST /api/v1/dashboard/tams/benlist (DB fallback; live TAMS API 404s).</t>
        </is>
      </c>
      <c r="J40" s="4" t="inlineStr">
        <is>
          <t>Passed</t>
        </is>
      </c>
      <c r="K40" s="4" t="inlineStr">
        <is>
          <t>Playwright + manual verify</t>
        </is>
      </c>
      <c r="L40" s="4" t="inlineStr">
        <is>
          <t>DEF-TAMS-001</t>
        </is>
      </c>
      <c r="M40" s="4" t="inlineStr">
        <is>
          <t>DEF-TAMS-001: detail grid previously generated mock student names from hardcoded arrays in dashboard-md.component.ts</t>
        </is>
      </c>
    </row>
  </sheetData>
  <autoFilter ref="A3:M40"/>
  <mergeCells count="2">
    <mergeCell ref="A2:M2"/>
    <mergeCell ref="A1:M1"/>
  </mergeCells>
  <conditionalFormatting sqref="J4:J240">
    <cfRule type="cellIs" priority="1" operator="equal" dxfId="2">
      <formula>"Passed"</formula>
    </cfRule>
    <cfRule type="cellIs" priority="2" operator="equal" dxfId="0">
      <formula>"Failed"</formula>
    </cfRule>
    <cfRule type="cellIs" priority="3" operator="equal" dxfId="1">
      <formula>"Blocked"</formula>
    </cfRule>
    <cfRule type="cellIs" priority="4" operator="equal" dxfId="3">
      <formula>"Not Executed"</formula>
    </cfRule>
    <cfRule type="cellIs" priority="5" operator="equal" dxfId="1">
      <formula>"In Progress"</formula>
    </cfRule>
  </conditionalFormatting>
  <dataValidations count="1">
    <dataValidation sqref="J4:J240" showDropDown="0" showInputMessage="0" showErrorMessage="1" allowBlank="1" errorTitle="Invalid value" error="Please pick a value from the dropdown list." type="list">
      <formula1>"Passed,Failed,Blocked,Not Executed,In Progress"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52" customWidth="1" min="9" max="9"/>
    <col width="14" customWidth="1" min="10" max="10"/>
    <col width="14" customWidth="1" min="11" max="11"/>
    <col width="12" customWidth="1" min="12" max="12"/>
    <col width="20" customWidth="1" min="13" max="13"/>
  </cols>
  <sheetData>
    <row r="1" ht="26" customHeight="1">
      <c r="A1" s="1" t="inlineStr">
        <is>
          <t>Browser Compatibility Matrix - TAHDCO UDP</t>
        </is>
      </c>
    </row>
    <row r="2" ht="16" customHeight="1">
      <c r="A2" s="2" t="inlineStr">
        <is>
          <t>Cross-browser verification for the real application modules. Per-browser results are not yet executed - use the Pass/Fail/N/A dropdowns as testing is completed, then update the overall Status.</t>
        </is>
      </c>
    </row>
    <row r="3" ht="30" customHeight="1">
      <c r="A3" s="8" t="inlineStr">
        <is>
          <t>Test ID</t>
        </is>
      </c>
      <c r="B3" s="8" t="inlineStr">
        <is>
          <t>Module/Feature</t>
        </is>
      </c>
      <c r="C3" s="8" t="inlineStr">
        <is>
          <t>Chrome</t>
        </is>
      </c>
      <c r="D3" s="8" t="inlineStr">
        <is>
          <t>Firefox</t>
        </is>
      </c>
      <c r="E3" s="8" t="inlineStr">
        <is>
          <t>Edge</t>
        </is>
      </c>
      <c r="F3" s="8" t="inlineStr">
        <is>
          <t>Safari</t>
        </is>
      </c>
      <c r="G3" s="8" t="inlineStr">
        <is>
          <t>Android Chrome</t>
        </is>
      </c>
      <c r="H3" s="8" t="inlineStr">
        <is>
          <t>iOS Safari</t>
        </is>
      </c>
      <c r="I3" s="8" t="inlineStr">
        <is>
          <t>Expected Result</t>
        </is>
      </c>
      <c r="J3" s="8" t="inlineStr">
        <is>
          <t>Tester</t>
        </is>
      </c>
      <c r="K3" s="8" t="inlineStr">
        <is>
          <t>Status</t>
        </is>
      </c>
      <c r="L3" s="8" t="inlineStr">
        <is>
          <t>Defect ID</t>
        </is>
      </c>
      <c r="M3" s="8" t="inlineStr">
        <is>
          <t>Remarks</t>
        </is>
      </c>
    </row>
    <row r="4" ht="35" customHeight="1">
      <c r="A4" s="4" t="inlineStr">
        <is>
          <t>BC-01</t>
        </is>
      </c>
      <c r="B4" s="4" t="inlineStr">
        <is>
          <t>Login Page</t>
        </is>
      </c>
      <c r="C4" s="4" t="inlineStr">
        <is>
          <t>Not Tested</t>
        </is>
      </c>
      <c r="D4" s="4" t="inlineStr">
        <is>
          <t>Not Tested</t>
        </is>
      </c>
      <c r="E4" s="4" t="inlineStr">
        <is>
          <t>Not Tested</t>
        </is>
      </c>
      <c r="F4" s="4" t="inlineStr">
        <is>
          <t>Not Tested</t>
        </is>
      </c>
      <c r="G4" s="4" t="inlineStr">
        <is>
          <t>Not Tested</t>
        </is>
      </c>
      <c r="H4" s="4" t="inlineStr">
        <is>
          <t>Not Tested</t>
        </is>
      </c>
      <c r="I4" s="4" t="inlineStr">
        <is>
          <t>Login form renders, validates, and authenticates on all target browsers</t>
        </is>
      </c>
      <c r="J4" s="4" t="inlineStr">
        <is>
          <t>TBD</t>
        </is>
      </c>
      <c r="K4" s="4" t="inlineStr">
        <is>
          <t>Not Executed</t>
        </is>
      </c>
      <c r="L4" s="4" t="inlineStr"/>
      <c r="M4" s="4" t="inlineStr">
        <is>
          <t>REQ-21</t>
        </is>
      </c>
    </row>
    <row r="5" ht="35" customHeight="1">
      <c r="A5" s="5" t="inlineStr">
        <is>
          <t>BC-02</t>
        </is>
      </c>
      <c r="B5" s="5" t="inlineStr">
        <is>
          <t>Overview Dashboard</t>
        </is>
      </c>
      <c r="C5" s="5" t="inlineStr">
        <is>
          <t>Not Tested</t>
        </is>
      </c>
      <c r="D5" s="5" t="inlineStr">
        <is>
          <t>Not Tested</t>
        </is>
      </c>
      <c r="E5" s="5" t="inlineStr">
        <is>
          <t>Not Tested</t>
        </is>
      </c>
      <c r="F5" s="5" t="inlineStr">
        <is>
          <t>Not Tested</t>
        </is>
      </c>
      <c r="G5" s="5" t="inlineStr">
        <is>
          <t>Not Tested</t>
        </is>
      </c>
      <c r="H5" s="5" t="inlineStr">
        <is>
          <t>Not Tested</t>
        </is>
      </c>
      <c r="I5" s="5" t="inlineStr">
        <is>
          <t>KPI cards and module tiles render with correct counts</t>
        </is>
      </c>
      <c r="J5" s="5" t="inlineStr">
        <is>
          <t>TBD</t>
        </is>
      </c>
      <c r="K5" s="5" t="inlineStr">
        <is>
          <t>Not Executed</t>
        </is>
      </c>
      <c r="L5" s="5" t="inlineStr"/>
      <c r="M5" s="5" t="inlineStr">
        <is>
          <t>REQ-01</t>
        </is>
      </c>
    </row>
    <row r="6" ht="35" customHeight="1">
      <c r="A6" s="4" t="inlineStr">
        <is>
          <t>BC-03</t>
        </is>
      </c>
      <c r="B6" s="4" t="inlineStr">
        <is>
          <t>Executive MD Dashboard + GIS Map</t>
        </is>
      </c>
      <c r="C6" s="4" t="inlineStr">
        <is>
          <t>Not Tested</t>
        </is>
      </c>
      <c r="D6" s="4" t="inlineStr">
        <is>
          <t>Not Tested</t>
        </is>
      </c>
      <c r="E6" s="4" t="inlineStr">
        <is>
          <t>Not Tested</t>
        </is>
      </c>
      <c r="F6" s="4" t="inlineStr">
        <is>
          <t>Not Tested</t>
        </is>
      </c>
      <c r="G6" s="4" t="inlineStr">
        <is>
          <t>Not Tested</t>
        </is>
      </c>
      <c r="H6" s="4" t="inlineStr">
        <is>
          <t>Not Tested</t>
        </is>
      </c>
      <c r="I6" s="4" t="inlineStr">
        <is>
          <t>KPI cards, charts, and Tamil Nadu district map render consistently</t>
        </is>
      </c>
      <c r="J6" s="4" t="inlineStr">
        <is>
          <t>TBD</t>
        </is>
      </c>
      <c r="K6" s="4" t="inlineStr">
        <is>
          <t>Not Executed</t>
        </is>
      </c>
      <c r="L6" s="4" t="inlineStr"/>
      <c r="M6" s="4" t="inlineStr">
        <is>
          <t>REQ-01, REQ-16</t>
        </is>
      </c>
    </row>
    <row r="7" ht="35" customHeight="1">
      <c r="A7" s="5" t="inlineStr">
        <is>
          <t>BC-04</t>
        </is>
      </c>
      <c r="B7" s="5" t="inlineStr">
        <is>
          <t>Tender Management (TIPS)</t>
        </is>
      </c>
      <c r="C7" s="5" t="inlineStr">
        <is>
          <t>Not Tested</t>
        </is>
      </c>
      <c r="D7" s="5" t="inlineStr">
        <is>
          <t>Not Tested</t>
        </is>
      </c>
      <c r="E7" s="5" t="inlineStr">
        <is>
          <t>Not Tested</t>
        </is>
      </c>
      <c r="F7" s="5" t="inlineStr">
        <is>
          <t>Not Tested</t>
        </is>
      </c>
      <c r="G7" s="5" t="inlineStr">
        <is>
          <t>Not Tested</t>
        </is>
      </c>
      <c r="H7" s="5" t="inlineStr">
        <is>
          <t>Not Tested</t>
        </is>
      </c>
      <c r="I7" s="5" t="inlineStr">
        <is>
          <t>Datatable sorting, pagination, filtering, and drill-down work</t>
        </is>
      </c>
      <c r="J7" s="5" t="inlineStr">
        <is>
          <t>TBD</t>
        </is>
      </c>
      <c r="K7" s="5" t="inlineStr">
        <is>
          <t>Not Executed</t>
        </is>
      </c>
      <c r="L7" s="5" t="inlineStr"/>
      <c r="M7" s="5" t="inlineStr">
        <is>
          <t>REQ-02</t>
        </is>
      </c>
    </row>
    <row r="8" ht="35" customHeight="1">
      <c r="A8" s="4" t="inlineStr">
        <is>
          <t>BC-05</t>
        </is>
      </c>
      <c r="B8" s="4" t="inlineStr">
        <is>
          <t>Housing Scheme (THMS)</t>
        </is>
      </c>
      <c r="C8" s="4" t="inlineStr">
        <is>
          <t>Not Tested</t>
        </is>
      </c>
      <c r="D8" s="4" t="inlineStr">
        <is>
          <t>Not Tested</t>
        </is>
      </c>
      <c r="E8" s="4" t="inlineStr">
        <is>
          <t>Not Tested</t>
        </is>
      </c>
      <c r="F8" s="4" t="inlineStr">
        <is>
          <t>Not Tested</t>
        </is>
      </c>
      <c r="G8" s="4" t="inlineStr">
        <is>
          <t>Not Tested</t>
        </is>
      </c>
      <c r="H8" s="4" t="inlineStr">
        <is>
          <t>Not Tested</t>
        </is>
      </c>
      <c r="I8" s="4" t="inlineStr">
        <is>
          <t>Housing tables, stage progress, and geotagged photo upload work</t>
        </is>
      </c>
      <c r="J8" s="4" t="inlineStr">
        <is>
          <t>TBD</t>
        </is>
      </c>
      <c r="K8" s="4" t="inlineStr">
        <is>
          <t>Not Executed</t>
        </is>
      </c>
      <c r="L8" s="4" t="inlineStr"/>
      <c r="M8" s="4" t="inlineStr">
        <is>
          <t>REQ-03</t>
        </is>
      </c>
    </row>
    <row r="9" ht="35" customHeight="1">
      <c r="A9" s="5" t="inlineStr">
        <is>
          <t>BC-06</t>
        </is>
      </c>
      <c r="B9" s="5" t="inlineStr">
        <is>
          <t>Attendance &amp; Skill (TAMS)</t>
        </is>
      </c>
      <c r="C9" s="5" t="inlineStr">
        <is>
          <t>Not Tested</t>
        </is>
      </c>
      <c r="D9" s="5" t="inlineStr">
        <is>
          <t>Not Tested</t>
        </is>
      </c>
      <c r="E9" s="5" t="inlineStr">
        <is>
          <t>Not Tested</t>
        </is>
      </c>
      <c r="F9" s="5" t="inlineStr">
        <is>
          <t>Not Tested</t>
        </is>
      </c>
      <c r="G9" s="5" t="inlineStr">
        <is>
          <t>Not Tested</t>
        </is>
      </c>
      <c r="H9" s="5" t="inlineStr">
        <is>
          <t>Not Tested</t>
        </is>
      </c>
      <c r="I9" s="5" t="inlineStr">
        <is>
          <t>Enrollment summary, institute lists, and charts render correctly</t>
        </is>
      </c>
      <c r="J9" s="5" t="inlineStr">
        <is>
          <t>TBD</t>
        </is>
      </c>
      <c r="K9" s="5" t="inlineStr">
        <is>
          <t>Not Executed</t>
        </is>
      </c>
      <c r="L9" s="5" t="inlineStr"/>
      <c r="M9" s="5" t="inlineStr">
        <is>
          <t>REQ-04</t>
        </is>
      </c>
    </row>
    <row r="10" ht="35" customHeight="1">
      <c r="A10" s="4" t="inlineStr">
        <is>
          <t>BC-07</t>
        </is>
      </c>
      <c r="B10" s="4" t="inlineStr">
        <is>
          <t>Welfare Schemes &amp; TELP Loans</t>
        </is>
      </c>
      <c r="C10" s="4" t="inlineStr">
        <is>
          <t>Not Tested</t>
        </is>
      </c>
      <c r="D10" s="4" t="inlineStr">
        <is>
          <t>Not Tested</t>
        </is>
      </c>
      <c r="E10" s="4" t="inlineStr">
        <is>
          <t>Not Tested</t>
        </is>
      </c>
      <c r="F10" s="4" t="inlineStr">
        <is>
          <t>Not Tested</t>
        </is>
      </c>
      <c r="G10" s="4" t="inlineStr">
        <is>
          <t>Not Tested</t>
        </is>
      </c>
      <c r="H10" s="4" t="inlineStr">
        <is>
          <t>Not Tested</t>
        </is>
      </c>
      <c r="I10" s="4" t="inlineStr">
        <is>
          <t>Scheme report table/chart views and row detail dialogs work</t>
        </is>
      </c>
      <c r="J10" s="4" t="inlineStr">
        <is>
          <t>TBD</t>
        </is>
      </c>
      <c r="K10" s="4" t="inlineStr">
        <is>
          <t>Not Executed</t>
        </is>
      </c>
      <c r="L10" s="4" t="inlineStr"/>
      <c r="M10" s="4" t="inlineStr">
        <is>
          <t>REQ-05, REQ-08</t>
        </is>
      </c>
    </row>
    <row r="11" ht="35" customHeight="1">
      <c r="A11" s="5" t="inlineStr">
        <is>
          <t>BC-08</t>
        </is>
      </c>
      <c r="B11" s="5" t="inlineStr">
        <is>
          <t>Welfare Board (TNCWWB)</t>
        </is>
      </c>
      <c r="C11" s="5" t="inlineStr">
        <is>
          <t>Not Tested</t>
        </is>
      </c>
      <c r="D11" s="5" t="inlineStr">
        <is>
          <t>Not Tested</t>
        </is>
      </c>
      <c r="E11" s="5" t="inlineStr">
        <is>
          <t>Not Tested</t>
        </is>
      </c>
      <c r="F11" s="5" t="inlineStr">
        <is>
          <t>Not Tested</t>
        </is>
      </c>
      <c r="G11" s="5" t="inlineStr">
        <is>
          <t>Not Tested</t>
        </is>
      </c>
      <c r="H11" s="5" t="inlineStr">
        <is>
          <t>Not Tested</t>
        </is>
      </c>
      <c r="I11" s="5" t="inlineStr">
        <is>
          <t>Member list loads and filters by district/status from query params</t>
        </is>
      </c>
      <c r="J11" s="5" t="inlineStr">
        <is>
          <t>TBD</t>
        </is>
      </c>
      <c r="K11" s="5" t="inlineStr">
        <is>
          <t>Not Executed</t>
        </is>
      </c>
      <c r="L11" s="5" t="inlineStr"/>
      <c r="M11" s="5" t="inlineStr">
        <is>
          <t>REQ-07</t>
        </is>
      </c>
    </row>
    <row r="12" ht="20.5" customHeight="1">
      <c r="A12" s="4" t="inlineStr">
        <is>
          <t>BC-09</t>
        </is>
      </c>
      <c r="B12" s="4" t="inlineStr">
        <is>
          <t>Official Diaries (TOD)</t>
        </is>
      </c>
      <c r="C12" s="4" t="inlineStr">
        <is>
          <t>Not Tested</t>
        </is>
      </c>
      <c r="D12" s="4" t="inlineStr">
        <is>
          <t>Not Tested</t>
        </is>
      </c>
      <c r="E12" s="4" t="inlineStr">
        <is>
          <t>Not Tested</t>
        </is>
      </c>
      <c r="F12" s="4" t="inlineStr">
        <is>
          <t>Not Tested</t>
        </is>
      </c>
      <c r="G12" s="4" t="inlineStr">
        <is>
          <t>Not Tested</t>
        </is>
      </c>
      <c r="H12" s="4" t="inlineStr">
        <is>
          <t>Not Tested</t>
        </is>
      </c>
      <c r="I12" s="4" t="inlineStr">
        <is>
          <t>Task/event tables and dialogs render correctly</t>
        </is>
      </c>
      <c r="J12" s="4" t="inlineStr">
        <is>
          <t>TBD</t>
        </is>
      </c>
      <c r="K12" s="4" t="inlineStr">
        <is>
          <t>Not Executed</t>
        </is>
      </c>
      <c r="L12" s="4" t="inlineStr"/>
      <c r="M12" s="4" t="inlineStr">
        <is>
          <t>REQ-09</t>
        </is>
      </c>
    </row>
    <row r="13" ht="35" customHeight="1">
      <c r="A13" s="5" t="inlineStr">
        <is>
          <t>BC-10</t>
        </is>
      </c>
      <c r="B13" s="5" t="inlineStr">
        <is>
          <t>CCTV Surveillance (Patrol360)</t>
        </is>
      </c>
      <c r="C13" s="5" t="inlineStr">
        <is>
          <t>Not Tested</t>
        </is>
      </c>
      <c r="D13" s="5" t="inlineStr">
        <is>
          <t>Not Tested</t>
        </is>
      </c>
      <c r="E13" s="5" t="inlineStr">
        <is>
          <t>Not Tested</t>
        </is>
      </c>
      <c r="F13" s="5" t="inlineStr">
        <is>
          <t>Not Tested</t>
        </is>
      </c>
      <c r="G13" s="5" t="inlineStr">
        <is>
          <t>Not Tested</t>
        </is>
      </c>
      <c r="H13" s="5" t="inlineStr">
        <is>
          <t>Not Tested</t>
        </is>
      </c>
      <c r="I13" s="5" t="inlineStr">
        <is>
          <t>Camera status and offline-duration views render correctly</t>
        </is>
      </c>
      <c r="J13" s="5" t="inlineStr">
        <is>
          <t>TBD</t>
        </is>
      </c>
      <c r="K13" s="5" t="inlineStr">
        <is>
          <t>Not Executed</t>
        </is>
      </c>
      <c r="L13" s="5" t="inlineStr"/>
      <c r="M13" s="5" t="inlineStr">
        <is>
          <t>REQ-06</t>
        </is>
      </c>
    </row>
    <row r="14" ht="35" customHeight="1">
      <c r="A14" s="4" t="inlineStr">
        <is>
          <t>BC-11</t>
        </is>
      </c>
      <c r="B14" s="4" t="inlineStr">
        <is>
          <t>Drill-Down District View</t>
        </is>
      </c>
      <c r="C14" s="4" t="inlineStr">
        <is>
          <t>Not Tested</t>
        </is>
      </c>
      <c r="D14" s="4" t="inlineStr">
        <is>
          <t>Not Tested</t>
        </is>
      </c>
      <c r="E14" s="4" t="inlineStr">
        <is>
          <t>Not Tested</t>
        </is>
      </c>
      <c r="F14" s="4" t="inlineStr">
        <is>
          <t>Not Tested</t>
        </is>
      </c>
      <c r="G14" s="4" t="inlineStr">
        <is>
          <t>Not Tested</t>
        </is>
      </c>
      <c r="H14" s="4" t="inlineStr">
        <is>
          <t>Not Tested</t>
        </is>
      </c>
      <c r="I14" s="4" t="inlineStr">
        <is>
          <t>District rows, segment bars, and search filter work</t>
        </is>
      </c>
      <c r="J14" s="4" t="inlineStr">
        <is>
          <t>TBD</t>
        </is>
      </c>
      <c r="K14" s="4" t="inlineStr">
        <is>
          <t>Not Executed</t>
        </is>
      </c>
      <c r="L14" s="4" t="inlineStr"/>
      <c r="M14" s="4" t="inlineStr">
        <is>
          <t>REQ-13</t>
        </is>
      </c>
    </row>
    <row r="15" ht="35" customHeight="1">
      <c r="A15" s="5" t="inlineStr">
        <is>
          <t>BC-12</t>
        </is>
      </c>
      <c r="B15" s="5" t="inlineStr">
        <is>
          <t>Header Global Search</t>
        </is>
      </c>
      <c r="C15" s="5" t="inlineStr">
        <is>
          <t>Not Tested</t>
        </is>
      </c>
      <c r="D15" s="5" t="inlineStr">
        <is>
          <t>Not Tested</t>
        </is>
      </c>
      <c r="E15" s="5" t="inlineStr">
        <is>
          <t>Not Tested</t>
        </is>
      </c>
      <c r="F15" s="5" t="inlineStr">
        <is>
          <t>Not Tested</t>
        </is>
      </c>
      <c r="G15" s="5" t="inlineStr">
        <is>
          <t>Not Tested</t>
        </is>
      </c>
      <c r="H15" s="5" t="inlineStr">
        <is>
          <t>Not Tested</t>
        </is>
      </c>
      <c r="I15" s="5" t="inlineStr">
        <is>
          <t>Search dropdown returns live matches for works/tenders/districts</t>
        </is>
      </c>
      <c r="J15" s="5" t="inlineStr">
        <is>
          <t>TBD</t>
        </is>
      </c>
      <c r="K15" s="5" t="inlineStr">
        <is>
          <t>Not Executed</t>
        </is>
      </c>
      <c r="L15" s="5" t="inlineStr"/>
      <c r="M15" s="5" t="inlineStr">
        <is>
          <t>REQ-17</t>
        </is>
      </c>
    </row>
    <row r="16" ht="20.5" customHeight="1">
      <c r="A16" s="4" t="inlineStr">
        <is>
          <t>BC-13</t>
        </is>
      </c>
      <c r="B16" s="4" t="inlineStr">
        <is>
          <t>Report Export (Excel/PDF)</t>
        </is>
      </c>
      <c r="C16" s="4" t="inlineStr">
        <is>
          <t>Not Tested</t>
        </is>
      </c>
      <c r="D16" s="4" t="inlineStr">
        <is>
          <t>Not Tested</t>
        </is>
      </c>
      <c r="E16" s="4" t="inlineStr">
        <is>
          <t>Not Tested</t>
        </is>
      </c>
      <c r="F16" s="4" t="inlineStr">
        <is>
          <t>Not Tested</t>
        </is>
      </c>
      <c r="G16" s="4" t="inlineStr">
        <is>
          <t>Not Tested</t>
        </is>
      </c>
      <c r="H16" s="4" t="inlineStr">
        <is>
          <t>Not Tested</t>
        </is>
      </c>
      <c r="I16" s="4" t="inlineStr">
        <is>
          <t>Exported files download and open correctly</t>
        </is>
      </c>
      <c r="J16" s="4" t="inlineStr">
        <is>
          <t>TBD</t>
        </is>
      </c>
      <c r="K16" s="4" t="inlineStr">
        <is>
          <t>Not Executed</t>
        </is>
      </c>
      <c r="L16" s="4" t="inlineStr"/>
      <c r="M16" s="4" t="inlineStr">
        <is>
          <t>REQ-18</t>
        </is>
      </c>
    </row>
    <row r="17" ht="35" customHeight="1">
      <c r="A17" s="5" t="inlineStr">
        <is>
          <t>BC-14</t>
        </is>
      </c>
      <c r="B17" s="5" t="inlineStr">
        <is>
          <t>System Notifications Modal</t>
        </is>
      </c>
      <c r="C17" s="5" t="inlineStr">
        <is>
          <t>Not Tested</t>
        </is>
      </c>
      <c r="D17" s="5" t="inlineStr">
        <is>
          <t>Not Tested</t>
        </is>
      </c>
      <c r="E17" s="5" t="inlineStr">
        <is>
          <t>Not Tested</t>
        </is>
      </c>
      <c r="F17" s="5" t="inlineStr">
        <is>
          <t>Not Tested</t>
        </is>
      </c>
      <c r="G17" s="5" t="inlineStr">
        <is>
          <t>Not Tested</t>
        </is>
      </c>
      <c r="H17" s="5" t="inlineStr">
        <is>
          <t>Not Tested</t>
        </is>
      </c>
      <c r="I17" s="5" t="inlineStr">
        <is>
          <t>Notification overlay renders, filters, and dismisses correctly</t>
        </is>
      </c>
      <c r="J17" s="5" t="inlineStr">
        <is>
          <t>TBD</t>
        </is>
      </c>
      <c r="K17" s="5" t="inlineStr">
        <is>
          <t>Not Executed</t>
        </is>
      </c>
      <c r="L17" s="5" t="inlineStr"/>
      <c r="M17" s="5" t="inlineStr">
        <is>
          <t>REQ-19</t>
        </is>
      </c>
    </row>
    <row r="18" ht="35" customHeight="1">
      <c r="A18" s="4" t="inlineStr">
        <is>
          <t>BC-15</t>
        </is>
      </c>
      <c r="B18" s="4" t="inlineStr">
        <is>
          <t>AI Copilot Widget</t>
        </is>
      </c>
      <c r="C18" s="4" t="inlineStr">
        <is>
          <t>Not Tested</t>
        </is>
      </c>
      <c r="D18" s="4" t="inlineStr">
        <is>
          <t>Not Tested</t>
        </is>
      </c>
      <c r="E18" s="4" t="inlineStr">
        <is>
          <t>Not Tested</t>
        </is>
      </c>
      <c r="F18" s="4" t="inlineStr">
        <is>
          <t>Not Tested</t>
        </is>
      </c>
      <c r="G18" s="4" t="inlineStr">
        <is>
          <t>Not Tested</t>
        </is>
      </c>
      <c r="H18" s="4" t="inlineStr">
        <is>
          <t>Not Tested</t>
        </is>
      </c>
      <c r="I18" s="4" t="inlineStr">
        <is>
          <t>Floating widget opens and answers queries from the RAG engine</t>
        </is>
      </c>
      <c r="J18" s="4" t="inlineStr">
        <is>
          <t>TBD</t>
        </is>
      </c>
      <c r="K18" s="4" t="inlineStr">
        <is>
          <t>Not Executed</t>
        </is>
      </c>
      <c r="L18" s="4" t="inlineStr"/>
      <c r="M18" s="4" t="inlineStr">
        <is>
          <t>REQ-20</t>
        </is>
      </c>
    </row>
    <row r="19" ht="20.5" customHeight="1">
      <c r="A19" s="5" t="inlineStr">
        <is>
          <t>BC-16</t>
        </is>
      </c>
      <c r="B19" s="5" t="inlineStr">
        <is>
          <t>Scheduler Management</t>
        </is>
      </c>
      <c r="C19" s="5" t="inlineStr">
        <is>
          <t>Not Tested</t>
        </is>
      </c>
      <c r="D19" s="5" t="inlineStr">
        <is>
          <t>Not Tested</t>
        </is>
      </c>
      <c r="E19" s="5" t="inlineStr">
        <is>
          <t>Not Tested</t>
        </is>
      </c>
      <c r="F19" s="5" t="inlineStr">
        <is>
          <t>Not Tested</t>
        </is>
      </c>
      <c r="G19" s="5" t="inlineStr">
        <is>
          <t>Not Tested</t>
        </is>
      </c>
      <c r="H19" s="5" t="inlineStr">
        <is>
          <t>Not Tested</t>
        </is>
      </c>
      <c r="I19" s="5" t="inlineStr">
        <is>
          <t>Hangfire job list, presets, and run controls work</t>
        </is>
      </c>
      <c r="J19" s="5" t="inlineStr">
        <is>
          <t>TBD</t>
        </is>
      </c>
      <c r="K19" s="5" t="inlineStr">
        <is>
          <t>Not Executed</t>
        </is>
      </c>
      <c r="L19" s="5" t="inlineStr"/>
      <c r="M19" s="5" t="inlineStr">
        <is>
          <t>REQ-10, REQ-11</t>
        </is>
      </c>
    </row>
    <row r="20" ht="35" customHeight="1">
      <c r="A20" s="4" t="inlineStr">
        <is>
          <t>BC-17</t>
        </is>
      </c>
      <c r="B20" s="4" t="inlineStr">
        <is>
          <t>Ingestion Dashboard</t>
        </is>
      </c>
      <c r="C20" s="4" t="inlineStr">
        <is>
          <t>Not Tested</t>
        </is>
      </c>
      <c r="D20" s="4" t="inlineStr">
        <is>
          <t>Not Tested</t>
        </is>
      </c>
      <c r="E20" s="4" t="inlineStr">
        <is>
          <t>Not Tested</t>
        </is>
      </c>
      <c r="F20" s="4" t="inlineStr">
        <is>
          <t>Not Tested</t>
        </is>
      </c>
      <c r="G20" s="4" t="inlineStr">
        <is>
          <t>Not Tested</t>
        </is>
      </c>
      <c r="H20" s="4" t="inlineStr">
        <is>
          <t>Not Tested</t>
        </is>
      </c>
      <c r="I20" s="4" t="inlineStr">
        <is>
          <t>Sync trigger and per-API status table render correctly</t>
        </is>
      </c>
      <c r="J20" s="4" t="inlineStr">
        <is>
          <t>TBD</t>
        </is>
      </c>
      <c r="K20" s="4" t="inlineStr">
        <is>
          <t>Not Executed</t>
        </is>
      </c>
      <c r="L20" s="4" t="inlineStr"/>
      <c r="M20" s="4" t="inlineStr">
        <is>
          <t>REQ-10</t>
        </is>
      </c>
    </row>
    <row r="21" ht="35" customHeight="1">
      <c r="A21" s="5" t="inlineStr">
        <is>
          <t>BC-18</t>
        </is>
      </c>
      <c r="B21" s="5" t="inlineStr">
        <is>
          <t>Audit Log</t>
        </is>
      </c>
      <c r="C21" s="5" t="inlineStr">
        <is>
          <t>Not Tested</t>
        </is>
      </c>
      <c r="D21" s="5" t="inlineStr">
        <is>
          <t>Not Tested</t>
        </is>
      </c>
      <c r="E21" s="5" t="inlineStr">
        <is>
          <t>Not Tested</t>
        </is>
      </c>
      <c r="F21" s="5" t="inlineStr">
        <is>
          <t>Not Tested</t>
        </is>
      </c>
      <c r="G21" s="5" t="inlineStr">
        <is>
          <t>Not Tested</t>
        </is>
      </c>
      <c r="H21" s="5" t="inlineStr">
        <is>
          <t>Not Tested</t>
        </is>
      </c>
      <c r="I21" s="5" t="inlineStr">
        <is>
          <t>Audit trail table loads and filters by action category</t>
        </is>
      </c>
      <c r="J21" s="5" t="inlineStr">
        <is>
          <t>TBD</t>
        </is>
      </c>
      <c r="K21" s="5" t="inlineStr">
        <is>
          <t>Not Executed</t>
        </is>
      </c>
      <c r="L21" s="5" t="inlineStr"/>
      <c r="M21" s="5" t="inlineStr">
        <is>
          <t>REQ-22</t>
        </is>
      </c>
    </row>
    <row r="22" ht="35" customHeight="1">
      <c r="A22" s="4" t="inlineStr">
        <is>
          <t>BC-19</t>
        </is>
      </c>
      <c r="B22" s="4" t="inlineStr">
        <is>
          <t>User Master</t>
        </is>
      </c>
      <c r="C22" s="4" t="inlineStr">
        <is>
          <t>Not Tested</t>
        </is>
      </c>
      <c r="D22" s="4" t="inlineStr">
        <is>
          <t>Not Tested</t>
        </is>
      </c>
      <c r="E22" s="4" t="inlineStr">
        <is>
          <t>Not Tested</t>
        </is>
      </c>
      <c r="F22" s="4" t="inlineStr">
        <is>
          <t>Not Tested</t>
        </is>
      </c>
      <c r="G22" s="4" t="inlineStr">
        <is>
          <t>Not Tested</t>
        </is>
      </c>
      <c r="H22" s="4" t="inlineStr">
        <is>
          <t>Not Tested</t>
        </is>
      </c>
      <c r="I22" s="4" t="inlineStr">
        <is>
          <t>User CRUD dialogs, privilege matrix, and search work</t>
        </is>
      </c>
      <c r="J22" s="4" t="inlineStr">
        <is>
          <t>TBD</t>
        </is>
      </c>
      <c r="K22" s="4" t="inlineStr">
        <is>
          <t>Not Executed</t>
        </is>
      </c>
      <c r="L22" s="4" t="inlineStr"/>
      <c r="M22" s="4" t="inlineStr">
        <is>
          <t>REQ-23</t>
        </is>
      </c>
    </row>
  </sheetData>
  <autoFilter ref="A3:M22"/>
  <mergeCells count="2">
    <mergeCell ref="A2:M2"/>
    <mergeCell ref="A1:M1"/>
  </mergeCells>
  <conditionalFormatting sqref="C4:C222">
    <cfRule type="cellIs" priority="1" operator="equal" dxfId="2">
      <formula>"Pass"</formula>
    </cfRule>
    <cfRule type="cellIs" priority="2" operator="equal" dxfId="0">
      <formula>"Fail"</formula>
    </cfRule>
    <cfRule type="cellIs" priority="3" operator="equal" dxfId="3">
      <formula>"N/A"</formula>
    </cfRule>
    <cfRule type="cellIs" priority="4" operator="equal" dxfId="3">
      <formula>"Not Tested"</formula>
    </cfRule>
  </conditionalFormatting>
  <conditionalFormatting sqref="D4:D222">
    <cfRule type="cellIs" priority="5" operator="equal" dxfId="2">
      <formula>"Pass"</formula>
    </cfRule>
    <cfRule type="cellIs" priority="6" operator="equal" dxfId="0">
      <formula>"Fail"</formula>
    </cfRule>
    <cfRule type="cellIs" priority="7" operator="equal" dxfId="3">
      <formula>"N/A"</formula>
    </cfRule>
    <cfRule type="cellIs" priority="8" operator="equal" dxfId="3">
      <formula>"Not Tested"</formula>
    </cfRule>
  </conditionalFormatting>
  <conditionalFormatting sqref="E4:E222">
    <cfRule type="cellIs" priority="9" operator="equal" dxfId="2">
      <formula>"Pass"</formula>
    </cfRule>
    <cfRule type="cellIs" priority="10" operator="equal" dxfId="0">
      <formula>"Fail"</formula>
    </cfRule>
    <cfRule type="cellIs" priority="11" operator="equal" dxfId="3">
      <formula>"N/A"</formula>
    </cfRule>
    <cfRule type="cellIs" priority="12" operator="equal" dxfId="3">
      <formula>"Not Tested"</formula>
    </cfRule>
  </conditionalFormatting>
  <conditionalFormatting sqref="F4:F222">
    <cfRule type="cellIs" priority="13" operator="equal" dxfId="2">
      <formula>"Pass"</formula>
    </cfRule>
    <cfRule type="cellIs" priority="14" operator="equal" dxfId="0">
      <formula>"Fail"</formula>
    </cfRule>
    <cfRule type="cellIs" priority="15" operator="equal" dxfId="3">
      <formula>"N/A"</formula>
    </cfRule>
    <cfRule type="cellIs" priority="16" operator="equal" dxfId="3">
      <formula>"Not Tested"</formula>
    </cfRule>
  </conditionalFormatting>
  <conditionalFormatting sqref="G4:G222">
    <cfRule type="cellIs" priority="17" operator="equal" dxfId="2">
      <formula>"Pass"</formula>
    </cfRule>
    <cfRule type="cellIs" priority="18" operator="equal" dxfId="0">
      <formula>"Fail"</formula>
    </cfRule>
    <cfRule type="cellIs" priority="19" operator="equal" dxfId="3">
      <formula>"N/A"</formula>
    </cfRule>
    <cfRule type="cellIs" priority="20" operator="equal" dxfId="3">
      <formula>"Not Tested"</formula>
    </cfRule>
  </conditionalFormatting>
  <conditionalFormatting sqref="H4:H222">
    <cfRule type="cellIs" priority="21" operator="equal" dxfId="2">
      <formula>"Pass"</formula>
    </cfRule>
    <cfRule type="cellIs" priority="22" operator="equal" dxfId="0">
      <formula>"Fail"</formula>
    </cfRule>
    <cfRule type="cellIs" priority="23" operator="equal" dxfId="3">
      <formula>"N/A"</formula>
    </cfRule>
    <cfRule type="cellIs" priority="24" operator="equal" dxfId="3">
      <formula>"Not Tested"</formula>
    </cfRule>
  </conditionalFormatting>
  <conditionalFormatting sqref="K4:K222">
    <cfRule type="cellIs" priority="25" operator="equal" dxfId="2">
      <formula>"Passed"</formula>
    </cfRule>
    <cfRule type="cellIs" priority="26" operator="equal" dxfId="0">
      <formula>"Failed"</formula>
    </cfRule>
    <cfRule type="cellIs" priority="27" operator="equal" dxfId="1">
      <formula>"Blocked"</formula>
    </cfRule>
    <cfRule type="cellIs" priority="28" operator="equal" dxfId="3">
      <formula>"Not Executed"</formula>
    </cfRule>
    <cfRule type="cellIs" priority="29" operator="equal" dxfId="1">
      <formula>"In Progress"</formula>
    </cfRule>
  </conditionalFormatting>
  <dataValidations count="7">
    <dataValidation sqref="C4:C222" showDropDown="0" showInputMessage="0" showErrorMessage="1" allowBlank="1" errorTitle="Invalid value" error="Please pick a value from the dropdown list." type="list">
      <formula1>"Pass,Fail,N/A,Not Tested"</formula1>
    </dataValidation>
    <dataValidation sqref="D4:D222" showDropDown="0" showInputMessage="0" showErrorMessage="1" allowBlank="1" errorTitle="Invalid value" error="Please pick a value from the dropdown list." type="list">
      <formula1>"Pass,Fail,N/A,Not Tested"</formula1>
    </dataValidation>
    <dataValidation sqref="E4:E222" showDropDown="0" showInputMessage="0" showErrorMessage="1" allowBlank="1" errorTitle="Invalid value" error="Please pick a value from the dropdown list." type="list">
      <formula1>"Pass,Fail,N/A,Not Tested"</formula1>
    </dataValidation>
    <dataValidation sqref="F4:F222" showDropDown="0" showInputMessage="0" showErrorMessage="1" allowBlank="1" errorTitle="Invalid value" error="Please pick a value from the dropdown list." type="list">
      <formula1>"Pass,Fail,N/A,Not Tested"</formula1>
    </dataValidation>
    <dataValidation sqref="G4:G222" showDropDown="0" showInputMessage="0" showErrorMessage="1" allowBlank="1" errorTitle="Invalid value" error="Please pick a value from the dropdown list." type="list">
      <formula1>"Pass,Fail,N/A,Not Tested"</formula1>
    </dataValidation>
    <dataValidation sqref="H4:H222" showDropDown="0" showInputMessage="0" showErrorMessage="1" allowBlank="1" errorTitle="Invalid value" error="Please pick a value from the dropdown list." type="list">
      <formula1>"Pass,Fail,N/A,Not Tested"</formula1>
    </dataValidation>
    <dataValidation sqref="K4:K222" showDropDown="0" showInputMessage="0" showErrorMessage="1" allowBlank="1" errorTitle="Invalid value" error="Please pick a value from the dropdown list." type="list">
      <formula1>"Passed,Failed,Blocked,Not Executed,In Progress"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P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12" customWidth="1" min="4" max="4"/>
    <col width="40" customWidth="1" min="5" max="5"/>
    <col width="14" customWidth="1" min="6" max="6"/>
    <col width="10" customWidth="1" min="7" max="7"/>
    <col width="15" customWidth="1" min="8" max="8"/>
    <col width="11" customWidth="1" min="9" max="9"/>
    <col width="14" customWidth="1" min="10" max="10"/>
    <col width="12" customWidth="1" min="11" max="11"/>
    <col width="34" customWidth="1" min="12" max="12"/>
    <col width="14" customWidth="1" min="13" max="13"/>
    <col width="16" customWidth="1" min="14" max="14"/>
    <col width="12" customWidth="1" min="15" max="15"/>
    <col width="38" customWidth="1" min="16" max="16"/>
  </cols>
  <sheetData>
    <row r="1" ht="26" customHeight="1">
      <c r="A1" s="1" t="inlineStr">
        <is>
          <t>API Performance Test Plan - TAHDCO UDP</t>
        </is>
      </c>
    </row>
    <row r="2" ht="16" customHeight="1">
      <c r="A2" s="2" t="inlineStr">
        <is>
          <t>Endpoints from the real backend routes (backend/API/Controllers). APT-01/02 carry recorded results from the project's perf notes; the rest define SLAs for a k6/JMeter load test - mark Result once real numbers are captured.</t>
        </is>
      </c>
    </row>
    <row r="3" ht="30" customHeight="1">
      <c r="A3" s="9" t="inlineStr">
        <is>
          <t>Test ID</t>
        </is>
      </c>
      <c r="B3" s="9" t="inlineStr">
        <is>
          <t>API Endpoint</t>
        </is>
      </c>
      <c r="C3" s="9" t="inlineStr">
        <is>
          <t>Module</t>
        </is>
      </c>
      <c r="D3" s="9" t="inlineStr">
        <is>
          <t>HTTP Method</t>
        </is>
      </c>
      <c r="E3" s="9" t="inlineStr">
        <is>
          <t>Test Scenario</t>
        </is>
      </c>
      <c r="F3" s="9" t="inlineStr">
        <is>
          <t>Concurrent Users</t>
        </is>
      </c>
      <c r="G3" s="9" t="inlineStr">
        <is>
          <t>Duration</t>
        </is>
      </c>
      <c r="H3" s="9" t="inlineStr">
        <is>
          <t>Avg Resp Time (ms)</t>
        </is>
      </c>
      <c r="I3" s="9" t="inlineStr">
        <is>
          <t>P95 (ms)</t>
        </is>
      </c>
      <c r="J3" s="9" t="inlineStr">
        <is>
          <t>Throughput (req/s)</t>
        </is>
      </c>
      <c r="K3" s="9" t="inlineStr">
        <is>
          <t>Error Rate (%)</t>
        </is>
      </c>
      <c r="L3" s="9" t="inlineStr">
        <is>
          <t>Target SLA</t>
        </is>
      </c>
      <c r="M3" s="9" t="inlineStr">
        <is>
          <t>Result</t>
        </is>
      </c>
      <c r="N3" s="9" t="inlineStr">
        <is>
          <t>Tester</t>
        </is>
      </c>
      <c r="O3" s="9" t="inlineStr">
        <is>
          <t>Date</t>
        </is>
      </c>
      <c r="P3" s="9" t="inlineStr">
        <is>
          <t>Remarks</t>
        </is>
      </c>
    </row>
    <row r="4" ht="49.5" customHeight="1">
      <c r="A4" s="4" t="inlineStr">
        <is>
          <t>APT-01</t>
        </is>
      </c>
      <c r="B4" s="4" t="inlineStr">
        <is>
          <t>POST /api/v1/auth/login</t>
        </is>
      </c>
      <c r="C4" s="4" t="inlineStr">
        <is>
          <t>User Authentication (REQ-21)</t>
        </is>
      </c>
      <c r="D4" s="4" t="inlineStr">
        <is>
          <t>POST</t>
        </is>
      </c>
      <c r="E4" s="4" t="inlineStr">
        <is>
          <t>Login response-time check</t>
        </is>
      </c>
      <c r="F4" s="4" t="inlineStr">
        <is>
          <t>1</t>
        </is>
      </c>
      <c r="G4" s="4" t="inlineStr">
        <is>
          <t>-</t>
        </is>
      </c>
      <c r="H4" s="4" t="inlineStr">
        <is>
          <t>120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0</t>
        </is>
      </c>
      <c r="L4" s="4" t="inlineStr">
        <is>
          <t>Avg &lt; 500 ms</t>
        </is>
      </c>
      <c r="M4" s="4" t="inlineStr">
        <is>
          <t>Passed</t>
        </is>
      </c>
      <c r="N4" s="4" t="inlineStr">
        <is>
          <t>Developer (QA)</t>
        </is>
      </c>
      <c r="O4" s="4" t="inlineStr">
        <is>
          <t>10-Aug-2026</t>
        </is>
      </c>
      <c r="P4" s="4" t="inlineStr">
        <is>
          <t>Recorded: 120 ms after removing table lock (project perf notes, generate_excel.js)</t>
        </is>
      </c>
    </row>
    <row r="5" ht="49.5" customHeight="1">
      <c r="A5" s="5" t="inlineStr">
        <is>
          <t>APT-02</t>
        </is>
      </c>
      <c r="B5" s="5" t="inlineStr">
        <is>
          <t>POST /api/v1/dashboard/tips-time/worklist</t>
        </is>
      </c>
      <c r="C5" s="5" t="inlineStr">
        <is>
          <t>Executive MD Dashboard (REQ-01, REQ-13)</t>
        </is>
      </c>
      <c r="D5" s="5" t="inlineStr">
        <is>
          <t>POST</t>
        </is>
      </c>
      <c r="E5" s="5" t="inlineStr">
        <is>
          <t>Inline detail fetch - FY 2026 full payload</t>
        </is>
      </c>
      <c r="F5" s="5" t="inlineStr">
        <is>
          <t>1</t>
        </is>
      </c>
      <c r="G5" s="5" t="inlineStr">
        <is>
          <t>-</t>
        </is>
      </c>
      <c r="H5" s="5" t="inlineStr">
        <is>
          <t>30000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0</t>
        </is>
      </c>
      <c r="L5" s="5" t="inlineStr">
        <is>
          <t>&lt; 120 s end-to-end</t>
        </is>
      </c>
      <c r="M5" s="5" t="inlineStr">
        <is>
          <t>Passed</t>
        </is>
      </c>
      <c r="N5" s="5" t="inlineStr">
        <is>
          <t>Developer (QA)</t>
        </is>
      </c>
      <c r="O5" s="5" t="inlineStr">
        <is>
          <t>10-Aug-2026</t>
        </is>
      </c>
      <c r="P5" s="5" t="inlineStr">
        <is>
          <t>Recorded: ~30 s for large 2026 payloads (project perf notes, generate_excel.js)</t>
        </is>
      </c>
    </row>
    <row r="6" ht="35" customHeight="1">
      <c r="A6" s="4" t="inlineStr">
        <is>
          <t>APT-03</t>
        </is>
      </c>
      <c r="B6" s="4" t="inlineStr">
        <is>
          <t>GET /api/v1/dashboard/full</t>
        </is>
      </c>
      <c r="C6" s="4" t="inlineStr">
        <is>
          <t>Executive MD Dashboard (REQ-01)</t>
        </is>
      </c>
      <c r="D6" s="4" t="inlineStr">
        <is>
          <t>GET</t>
        </is>
      </c>
      <c r="E6" s="4" t="inlineStr">
        <is>
          <t>Dashboard full payload under load</t>
        </is>
      </c>
      <c r="F6" s="4" t="inlineStr">
        <is>
          <t>50</t>
        </is>
      </c>
      <c r="G6" s="4" t="inlineStr">
        <is>
          <t>5 min</t>
        </is>
      </c>
      <c r="H6" s="4" t="inlineStr">
        <is>
          <t>TBD</t>
        </is>
      </c>
      <c r="I6" s="4" t="inlineStr">
        <is>
          <t>TBD</t>
        </is>
      </c>
      <c r="J6" s="4" t="inlineStr">
        <is>
          <t>TBD</t>
        </is>
      </c>
      <c r="K6" s="4" t="inlineStr">
        <is>
          <t>TBD</t>
        </is>
      </c>
      <c r="L6" s="4" t="inlineStr">
        <is>
          <t>P95 &lt; 2000 ms; error rate &lt; 1%</t>
        </is>
      </c>
      <c r="M6" s="4" t="inlineStr">
        <is>
          <t>Not Executed</t>
        </is>
      </c>
      <c r="N6" s="4" t="inlineStr">
        <is>
          <t>TBD</t>
        </is>
      </c>
      <c r="O6" s="4" t="inlineStr">
        <is>
          <t>TBD</t>
        </is>
      </c>
      <c r="P6" s="4" t="inlineStr">
        <is>
          <t>Load test pending (k6 / JMeter)</t>
        </is>
      </c>
    </row>
    <row r="7" ht="35" customHeight="1">
      <c r="A7" s="5" t="inlineStr">
        <is>
          <t>APT-04</t>
        </is>
      </c>
      <c r="B7" s="5" t="inlineStr">
        <is>
          <t>POST /api/v1/ingestion/sync</t>
        </is>
      </c>
      <c r="C7" s="5" t="inlineStr">
        <is>
          <t>Ingestion &amp; Scheduler (REQ-10)</t>
        </is>
      </c>
      <c r="D7" s="5" t="inlineStr">
        <is>
          <t>POST</t>
        </is>
      </c>
      <c r="E7" s="5" t="inlineStr">
        <is>
          <t>Full project-API sync trigger</t>
        </is>
      </c>
      <c r="F7" s="5" t="inlineStr">
        <is>
          <t>10</t>
        </is>
      </c>
      <c r="G7" s="5" t="inlineStr">
        <is>
          <t>10 min</t>
        </is>
      </c>
      <c r="H7" s="5" t="inlineStr">
        <is>
          <t>TBD</t>
        </is>
      </c>
      <c r="I7" s="5" t="inlineStr">
        <is>
          <t>TBD</t>
        </is>
      </c>
      <c r="J7" s="5" t="inlineStr">
        <is>
          <t>TBD</t>
        </is>
      </c>
      <c r="K7" s="5" t="inlineStr">
        <is>
          <t>TBD</t>
        </is>
      </c>
      <c r="L7" s="5" t="inlineStr">
        <is>
          <t>Batch completes &lt; 10 min; error rate &lt; 1%</t>
        </is>
      </c>
      <c r="M7" s="5" t="inlineStr">
        <is>
          <t>Not Executed</t>
        </is>
      </c>
      <c r="N7" s="5" t="inlineStr">
        <is>
          <t>TBD</t>
        </is>
      </c>
      <c r="O7" s="5" t="inlineStr">
        <is>
          <t>TBD</t>
        </is>
      </c>
      <c r="P7" s="5" t="inlineStr">
        <is>
          <t>Long-running batch endpoint - assert job completion, not just HTTP 200</t>
        </is>
      </c>
    </row>
    <row r="8" ht="20.5" customHeight="1">
      <c r="A8" s="4" t="inlineStr">
        <is>
          <t>APT-05</t>
        </is>
      </c>
      <c r="B8" s="4" t="inlineStr">
        <is>
          <t>GET /api/v1/ingestion/counts</t>
        </is>
      </c>
      <c r="C8" s="4" t="inlineStr">
        <is>
          <t>Ingestion &amp; Scheduler (REQ-10)</t>
        </is>
      </c>
      <c r="D8" s="4" t="inlineStr">
        <is>
          <t>GET</t>
        </is>
      </c>
      <c r="E8" s="4" t="inlineStr">
        <is>
          <t>Unified dashboard counts read</t>
        </is>
      </c>
      <c r="F8" s="4" t="inlineStr">
        <is>
          <t>50</t>
        </is>
      </c>
      <c r="G8" s="4" t="inlineStr">
        <is>
          <t>5 min</t>
        </is>
      </c>
      <c r="H8" s="4" t="inlineStr">
        <is>
          <t>TBD</t>
        </is>
      </c>
      <c r="I8" s="4" t="inlineStr">
        <is>
          <t>TBD</t>
        </is>
      </c>
      <c r="J8" s="4" t="inlineStr">
        <is>
          <t>TBD</t>
        </is>
      </c>
      <c r="K8" s="4" t="inlineStr">
        <is>
          <t>TBD</t>
        </is>
      </c>
      <c r="L8" s="4" t="inlineStr">
        <is>
          <t>P95 &lt; 1500 ms; error rate &lt; 1%</t>
        </is>
      </c>
      <c r="M8" s="4" t="inlineStr">
        <is>
          <t>Not Executed</t>
        </is>
      </c>
      <c r="N8" s="4" t="inlineStr">
        <is>
          <t>TBD</t>
        </is>
      </c>
      <c r="O8" s="4" t="inlineStr">
        <is>
          <t>TBD</t>
        </is>
      </c>
      <c r="P8" s="4" t="inlineStr"/>
    </row>
    <row r="9" ht="20.5" customHeight="1">
      <c r="A9" s="5" t="inlineStr">
        <is>
          <t>APT-06</t>
        </is>
      </c>
      <c r="B9" s="5" t="inlineStr">
        <is>
          <t>GET /api/v1/ingestion/status</t>
        </is>
      </c>
      <c r="C9" s="5" t="inlineStr">
        <is>
          <t>Ingestion &amp; Scheduler (REQ-10)</t>
        </is>
      </c>
      <c r="D9" s="5" t="inlineStr">
        <is>
          <t>GET</t>
        </is>
      </c>
      <c r="E9" s="5" t="inlineStr">
        <is>
          <t>Per-API ingestion status poll</t>
        </is>
      </c>
      <c r="F9" s="5" t="inlineStr">
        <is>
          <t>20</t>
        </is>
      </c>
      <c r="G9" s="5" t="inlineStr">
        <is>
          <t>5 min</t>
        </is>
      </c>
      <c r="H9" s="5" t="inlineStr">
        <is>
          <t>TBD</t>
        </is>
      </c>
      <c r="I9" s="5" t="inlineStr">
        <is>
          <t>TBD</t>
        </is>
      </c>
      <c r="J9" s="5" t="inlineStr">
        <is>
          <t>TBD</t>
        </is>
      </c>
      <c r="K9" s="5" t="inlineStr">
        <is>
          <t>TBD</t>
        </is>
      </c>
      <c r="L9" s="5" t="inlineStr">
        <is>
          <t>P95 &lt; 1000 ms; error rate &lt; 1%</t>
        </is>
      </c>
      <c r="M9" s="5" t="inlineStr">
        <is>
          <t>Not Executed</t>
        </is>
      </c>
      <c r="N9" s="5" t="inlineStr">
        <is>
          <t>TBD</t>
        </is>
      </c>
      <c r="O9" s="5" t="inlineStr">
        <is>
          <t>TBD</t>
        </is>
      </c>
      <c r="P9" s="5" t="inlineStr"/>
    </row>
    <row r="10" ht="20.5" customHeight="1">
      <c r="A10" s="4" t="inlineStr">
        <is>
          <t>APT-07</t>
        </is>
      </c>
      <c r="B10" s="4" t="inlineStr">
        <is>
          <t>POST /api/v1/dashboard/housing/benlist</t>
        </is>
      </c>
      <c r="C10" s="4" t="inlineStr">
        <is>
          <t>Housing Scheme - THMS (REQ-03)</t>
        </is>
      </c>
      <c r="D10" s="4" t="inlineStr">
        <is>
          <t>POST</t>
        </is>
      </c>
      <c r="E10" s="4" t="inlineStr">
        <is>
          <t>Beneficiary list fetch</t>
        </is>
      </c>
      <c r="F10" s="4" t="inlineStr">
        <is>
          <t>30</t>
        </is>
      </c>
      <c r="G10" s="4" t="inlineStr">
        <is>
          <t>5 min</t>
        </is>
      </c>
      <c r="H10" s="4" t="inlineStr">
        <is>
          <t>TBD</t>
        </is>
      </c>
      <c r="I10" s="4" t="inlineStr">
        <is>
          <t>TBD</t>
        </is>
      </c>
      <c r="J10" s="4" t="inlineStr">
        <is>
          <t>TBD</t>
        </is>
      </c>
      <c r="K10" s="4" t="inlineStr">
        <is>
          <t>TBD</t>
        </is>
      </c>
      <c r="L10" s="4" t="inlineStr">
        <is>
          <t>P95 &lt; 2000 ms; error rate &lt; 1%</t>
        </is>
      </c>
      <c r="M10" s="4" t="inlineStr">
        <is>
          <t>Not Executed</t>
        </is>
      </c>
      <c r="N10" s="4" t="inlineStr">
        <is>
          <t>TBD</t>
        </is>
      </c>
      <c r="O10" s="4" t="inlineStr">
        <is>
          <t>TBD</t>
        </is>
      </c>
      <c r="P10" s="4" t="inlineStr"/>
    </row>
    <row r="11" ht="35" customHeight="1">
      <c r="A11" s="5" t="inlineStr">
        <is>
          <t>APT-08</t>
        </is>
      </c>
      <c r="B11" s="5" t="inlineStr">
        <is>
          <t>POST /api/v1/dashboard/patrol/camera-status</t>
        </is>
      </c>
      <c r="C11" s="5" t="inlineStr">
        <is>
          <t>CCTV Surveillance - Patrol360 (REQ-06)</t>
        </is>
      </c>
      <c r="D11" s="5" t="inlineStr">
        <is>
          <t>POST</t>
        </is>
      </c>
      <c r="E11" s="5" t="inlineStr">
        <is>
          <t>Camera status snapshot</t>
        </is>
      </c>
      <c r="F11" s="5" t="inlineStr">
        <is>
          <t>30</t>
        </is>
      </c>
      <c r="G11" s="5" t="inlineStr">
        <is>
          <t>5 min</t>
        </is>
      </c>
      <c r="H11" s="5" t="inlineStr">
        <is>
          <t>TBD</t>
        </is>
      </c>
      <c r="I11" s="5" t="inlineStr">
        <is>
          <t>TBD</t>
        </is>
      </c>
      <c r="J11" s="5" t="inlineStr">
        <is>
          <t>TBD</t>
        </is>
      </c>
      <c r="K11" s="5" t="inlineStr">
        <is>
          <t>TBD</t>
        </is>
      </c>
      <c r="L11" s="5" t="inlineStr">
        <is>
          <t>P95 &lt; 1500 ms; error rate &lt; 1%</t>
        </is>
      </c>
      <c r="M11" s="5" t="inlineStr">
        <is>
          <t>Not Executed</t>
        </is>
      </c>
      <c r="N11" s="5" t="inlineStr">
        <is>
          <t>TBD</t>
        </is>
      </c>
      <c r="O11" s="5" t="inlineStr">
        <is>
          <t>TBD</t>
        </is>
      </c>
      <c r="P11" s="5" t="inlineStr"/>
    </row>
    <row r="12" ht="35" customHeight="1">
      <c r="A12" s="4" t="inlineStr">
        <is>
          <t>APT-09</t>
        </is>
      </c>
      <c r="B12" s="4" t="inlineStr">
        <is>
          <t>GET /api/v1/tender/summary</t>
        </is>
      </c>
      <c r="C12" s="4" t="inlineStr">
        <is>
          <t>Engineering Tenders - TIPS (REQ-02)</t>
        </is>
      </c>
      <c r="D12" s="4" t="inlineStr">
        <is>
          <t>GET</t>
        </is>
      </c>
      <c r="E12" s="4" t="inlineStr">
        <is>
          <t>Tender summary load</t>
        </is>
      </c>
      <c r="F12" s="4" t="inlineStr">
        <is>
          <t>40</t>
        </is>
      </c>
      <c r="G12" s="4" t="inlineStr">
        <is>
          <t>5 min</t>
        </is>
      </c>
      <c r="H12" s="4" t="inlineStr">
        <is>
          <t>TBD</t>
        </is>
      </c>
      <c r="I12" s="4" t="inlineStr">
        <is>
          <t>TBD</t>
        </is>
      </c>
      <c r="J12" s="4" t="inlineStr">
        <is>
          <t>TBD</t>
        </is>
      </c>
      <c r="K12" s="4" t="inlineStr">
        <is>
          <t>TBD</t>
        </is>
      </c>
      <c r="L12" s="4" t="inlineStr">
        <is>
          <t>P95 &lt; 1500 ms; error rate &lt; 1%</t>
        </is>
      </c>
      <c r="M12" s="4" t="inlineStr">
        <is>
          <t>Not Executed</t>
        </is>
      </c>
      <c r="N12" s="4" t="inlineStr">
        <is>
          <t>TBD</t>
        </is>
      </c>
      <c r="O12" s="4" t="inlineStr">
        <is>
          <t>TBD</t>
        </is>
      </c>
      <c r="P12" s="4" t="inlineStr"/>
    </row>
    <row r="13" ht="20.5" customHeight="1">
      <c r="A13" s="5" t="inlineStr">
        <is>
          <t>APT-10</t>
        </is>
      </c>
      <c r="B13" s="5" t="inlineStr">
        <is>
          <t>GET /api/v1/housing/overall</t>
        </is>
      </c>
      <c r="C13" s="5" t="inlineStr">
        <is>
          <t>Housing Scheme - THMS (REQ-03)</t>
        </is>
      </c>
      <c r="D13" s="5" t="inlineStr">
        <is>
          <t>GET</t>
        </is>
      </c>
      <c r="E13" s="5" t="inlineStr">
        <is>
          <t>Housing overall metrics</t>
        </is>
      </c>
      <c r="F13" s="5" t="inlineStr">
        <is>
          <t>40</t>
        </is>
      </c>
      <c r="G13" s="5" t="inlineStr">
        <is>
          <t>5 min</t>
        </is>
      </c>
      <c r="H13" s="5" t="inlineStr">
        <is>
          <t>TBD</t>
        </is>
      </c>
      <c r="I13" s="5" t="inlineStr">
        <is>
          <t>TBD</t>
        </is>
      </c>
      <c r="J13" s="5" t="inlineStr">
        <is>
          <t>TBD</t>
        </is>
      </c>
      <c r="K13" s="5" t="inlineStr">
        <is>
          <t>TBD</t>
        </is>
      </c>
      <c r="L13" s="5" t="inlineStr">
        <is>
          <t>P95 &lt; 1500 ms; error rate &lt; 1%</t>
        </is>
      </c>
      <c r="M13" s="5" t="inlineStr">
        <is>
          <t>Not Executed</t>
        </is>
      </c>
      <c r="N13" s="5" t="inlineStr">
        <is>
          <t>TBD</t>
        </is>
      </c>
      <c r="O13" s="5" t="inlineStr">
        <is>
          <t>TBD</t>
        </is>
      </c>
      <c r="P13" s="5" t="inlineStr"/>
    </row>
    <row r="14" ht="35" customHeight="1">
      <c r="A14" s="4" t="inlineStr">
        <is>
          <t>APT-11</t>
        </is>
      </c>
      <c r="B14" s="4" t="inlineStr">
        <is>
          <t>GET /api/v1/schemes/telp</t>
        </is>
      </c>
      <c r="C14" s="4" t="inlineStr">
        <is>
          <t>Welfare Schemes &amp; TELP (REQ-05, REQ-08)</t>
        </is>
      </c>
      <c r="D14" s="4" t="inlineStr">
        <is>
          <t>GET</t>
        </is>
      </c>
      <c r="E14" s="4" t="inlineStr">
        <is>
          <t>TELP loan summary</t>
        </is>
      </c>
      <c r="F14" s="4" t="inlineStr">
        <is>
          <t>30</t>
        </is>
      </c>
      <c r="G14" s="4" t="inlineStr">
        <is>
          <t>5 min</t>
        </is>
      </c>
      <c r="H14" s="4" t="inlineStr">
        <is>
          <t>TBD</t>
        </is>
      </c>
      <c r="I14" s="4" t="inlineStr">
        <is>
          <t>TBD</t>
        </is>
      </c>
      <c r="J14" s="4" t="inlineStr">
        <is>
          <t>TBD</t>
        </is>
      </c>
      <c r="K14" s="4" t="inlineStr">
        <is>
          <t>TBD</t>
        </is>
      </c>
      <c r="L14" s="4" t="inlineStr">
        <is>
          <t>P95 &lt; 1500 ms; error rate &lt; 1%</t>
        </is>
      </c>
      <c r="M14" s="4" t="inlineStr">
        <is>
          <t>Not Executed</t>
        </is>
      </c>
      <c r="N14" s="4" t="inlineStr">
        <is>
          <t>TBD</t>
        </is>
      </c>
      <c r="O14" s="4" t="inlineStr">
        <is>
          <t>TBD</t>
        </is>
      </c>
      <c r="P14" s="4" t="inlineStr"/>
    </row>
    <row r="15" ht="35" customHeight="1">
      <c r="A15" s="5" t="inlineStr">
        <is>
          <t>APT-12</t>
        </is>
      </c>
      <c r="B15" s="5" t="inlineStr">
        <is>
          <t>POST /api/v1/ai/chat</t>
        </is>
      </c>
      <c r="C15" s="5" t="inlineStr">
        <is>
          <t>AI Copilot Widget (REQ-20)</t>
        </is>
      </c>
      <c r="D15" s="5" t="inlineStr">
        <is>
          <t>POST</t>
        </is>
      </c>
      <c r="E15" s="5" t="inlineStr">
        <is>
          <t>RAG chat query</t>
        </is>
      </c>
      <c r="F15" s="5" t="inlineStr">
        <is>
          <t>20</t>
        </is>
      </c>
      <c r="G15" s="5" t="inlineStr">
        <is>
          <t>5 min</t>
        </is>
      </c>
      <c r="H15" s="5" t="inlineStr">
        <is>
          <t>TBD</t>
        </is>
      </c>
      <c r="I15" s="5" t="inlineStr">
        <is>
          <t>TBD</t>
        </is>
      </c>
      <c r="J15" s="5" t="inlineStr">
        <is>
          <t>TBD</t>
        </is>
      </c>
      <c r="K15" s="5" t="inlineStr">
        <is>
          <t>TBD</t>
        </is>
      </c>
      <c r="L15" s="5" t="inlineStr">
        <is>
          <t>P95 &lt; 5000 ms; error rate &lt; 2%</t>
        </is>
      </c>
      <c r="M15" s="5" t="inlineStr">
        <is>
          <t>Not Executed</t>
        </is>
      </c>
      <c r="N15" s="5" t="inlineStr">
        <is>
          <t>TBD</t>
        </is>
      </c>
      <c r="O15" s="5" t="inlineStr">
        <is>
          <t>TBD</t>
        </is>
      </c>
      <c r="P15" s="5" t="inlineStr">
        <is>
          <t>LLM-backed - budget includes model inference time</t>
        </is>
      </c>
    </row>
    <row r="16" ht="20.5" customHeight="1">
      <c r="A16" s="4" t="inlineStr">
        <is>
          <t>APT-13</t>
        </is>
      </c>
      <c r="B16" s="4" t="inlineStr">
        <is>
          <t>GET /api/v1/users</t>
        </is>
      </c>
      <c r="C16" s="4" t="inlineStr">
        <is>
          <t>User Master (REQ-23)</t>
        </is>
      </c>
      <c r="D16" s="4" t="inlineStr">
        <is>
          <t>GET</t>
        </is>
      </c>
      <c r="E16" s="4" t="inlineStr">
        <is>
          <t>User list under load</t>
        </is>
      </c>
      <c r="F16" s="4" t="inlineStr">
        <is>
          <t>20</t>
        </is>
      </c>
      <c r="G16" s="4" t="inlineStr">
        <is>
          <t>5 min</t>
        </is>
      </c>
      <c r="H16" s="4" t="inlineStr">
        <is>
          <t>TBD</t>
        </is>
      </c>
      <c r="I16" s="4" t="inlineStr">
        <is>
          <t>TBD</t>
        </is>
      </c>
      <c r="J16" s="4" t="inlineStr">
        <is>
          <t>TBD</t>
        </is>
      </c>
      <c r="K16" s="4" t="inlineStr">
        <is>
          <t>TBD</t>
        </is>
      </c>
      <c r="L16" s="4" t="inlineStr">
        <is>
          <t>P95 &lt; 1000 ms; error rate &lt; 1%</t>
        </is>
      </c>
      <c r="M16" s="4" t="inlineStr">
        <is>
          <t>Not Executed</t>
        </is>
      </c>
      <c r="N16" s="4" t="inlineStr">
        <is>
          <t>TBD</t>
        </is>
      </c>
      <c r="O16" s="4" t="inlineStr">
        <is>
          <t>TBD</t>
        </is>
      </c>
      <c r="P16" s="4" t="inlineStr"/>
    </row>
    <row r="17" ht="35" customHeight="1">
      <c r="A17" s="5" t="inlineStr">
        <is>
          <t>APT-14</t>
        </is>
      </c>
      <c r="B17" s="5" t="inlineStr">
        <is>
          <t>GET /api/v1/reports/tender.pdf</t>
        </is>
      </c>
      <c r="C17" s="5" t="inlineStr">
        <is>
          <t>Report Export (REQ-18)</t>
        </is>
      </c>
      <c r="D17" s="5" t="inlineStr">
        <is>
          <t>GET</t>
        </is>
      </c>
      <c r="E17" s="5" t="inlineStr">
        <is>
          <t>PDF report generation</t>
        </is>
      </c>
      <c r="F17" s="5" t="inlineStr">
        <is>
          <t>10</t>
        </is>
      </c>
      <c r="G17" s="5" t="inlineStr">
        <is>
          <t>5 min</t>
        </is>
      </c>
      <c r="H17" s="5" t="inlineStr">
        <is>
          <t>TBD</t>
        </is>
      </c>
      <c r="I17" s="5" t="inlineStr">
        <is>
          <t>TBD</t>
        </is>
      </c>
      <c r="J17" s="5" t="inlineStr">
        <is>
          <t>TBD</t>
        </is>
      </c>
      <c r="K17" s="5" t="inlineStr">
        <is>
          <t>TBD</t>
        </is>
      </c>
      <c r="L17" s="5" t="inlineStr">
        <is>
          <t>P95 &lt; 5000 ms; error rate &lt; 1%</t>
        </is>
      </c>
      <c r="M17" s="5" t="inlineStr">
        <is>
          <t>Not Executed</t>
        </is>
      </c>
      <c r="N17" s="5" t="inlineStr">
        <is>
          <t>TBD</t>
        </is>
      </c>
      <c r="O17" s="5" t="inlineStr">
        <is>
          <t>TBD</t>
        </is>
      </c>
      <c r="P17" s="5" t="inlineStr">
        <is>
          <t>CPU-heavy rendering - consider a smaller VU target</t>
        </is>
      </c>
    </row>
  </sheetData>
  <autoFilter ref="A3:P17"/>
  <mergeCells count="2">
    <mergeCell ref="A1:P1"/>
    <mergeCell ref="A2:P2"/>
  </mergeCells>
  <conditionalFormatting sqref="M4:M217">
    <cfRule type="cellIs" priority="1" operator="equal" dxfId="2">
      <formula>"Passed"</formula>
    </cfRule>
    <cfRule type="cellIs" priority="2" operator="equal" dxfId="0">
      <formula>"Failed"</formula>
    </cfRule>
    <cfRule type="cellIs" priority="3" operator="equal" dxfId="1">
      <formula>"Blocked"</formula>
    </cfRule>
    <cfRule type="cellIs" priority="4" operator="equal" dxfId="3">
      <formula>"Not Executed"</formula>
    </cfRule>
    <cfRule type="cellIs" priority="5" operator="equal" dxfId="1">
      <formula>"In Progress"</formula>
    </cfRule>
  </conditionalFormatting>
  <dataValidations count="1">
    <dataValidation sqref="M4:M217" showDropDown="0" showInputMessage="0" showErrorMessage="1" allowBlank="1" errorTitle="Invalid value" error="Please pick a value from the dropdown list." type="list">
      <formula1>"Passed,Failed,Blocked,Not Executed,In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52" customWidth="1" min="4" max="4"/>
    <col width="44" customWidth="1" min="5" max="5"/>
    <col width="36" customWidth="1" min="6" max="6"/>
    <col width="12" customWidth="1" min="7" max="7"/>
    <col width="24" customWidth="1" min="8" max="8"/>
    <col width="12" customWidth="1" min="9" max="9"/>
    <col width="52" customWidth="1" min="10" max="10"/>
  </cols>
  <sheetData>
    <row r="1" ht="26" customHeight="1">
      <c r="A1" s="1" t="inlineStr">
        <is>
          <t>Module API Integration - COUNT / Detail Endpoints (verified 11-Aug-2026)</t>
        </is>
      </c>
    </row>
    <row r="2" ht="16" customHeight="1">
      <c r="A2" s="2" t="inlineStr">
        <is>
          <t>The COUNT and Detail APIs each dashboard module consumes, verified by direct probe (check_module_apis.py) against the QA hosts with the module's real payload. Passed = valid data returned; Blocked = host reachable but a server-side/environment issue prevents data (stored proc missing, QA DB auth, Cloudflare block); Failed = HTTP error; Not Executed = endpoint not supplied.</t>
        </is>
      </c>
    </row>
    <row r="3" ht="30" customHeight="1">
      <c r="A3" s="10" t="inlineStr">
        <is>
          <t>Check ID</t>
        </is>
      </c>
      <c r="B3" s="10" t="inlineStr">
        <is>
          <t>Module</t>
        </is>
      </c>
      <c r="C3" s="10" t="inlineStr">
        <is>
          <t>Type</t>
        </is>
      </c>
      <c r="D3" s="10" t="inlineStr">
        <is>
          <t>Endpoint</t>
        </is>
      </c>
      <c r="E3" s="10" t="inlineStr">
        <is>
          <t>Request Payload</t>
        </is>
      </c>
      <c r="F3" s="10" t="inlineStr">
        <is>
          <t>Expected Result</t>
        </is>
      </c>
      <c r="G3" s="10" t="inlineStr">
        <is>
          <t>Status</t>
        </is>
      </c>
      <c r="H3" s="10" t="inlineStr">
        <is>
          <t>Verified By</t>
        </is>
      </c>
      <c r="I3" s="10" t="inlineStr">
        <is>
          <t>Date</t>
        </is>
      </c>
      <c r="J3" s="10" t="inlineStr">
        <is>
          <t>Remarks</t>
        </is>
      </c>
    </row>
    <row r="4" ht="49.5" customHeight="1">
      <c r="A4" s="4" t="inlineStr">
        <is>
          <t>MAI-01</t>
        </is>
      </c>
      <c r="B4" s="4" t="inlineStr">
        <is>
          <t>TELP</t>
        </is>
      </c>
      <c r="C4" s="4" t="inlineStr">
        <is>
          <t>COUNT</t>
        </is>
      </c>
      <c r="D4" s="4" t="inlineStr">
        <is>
          <t>https://qatelp.pixous.info/api/Report/DistrictWise_ApplicationSummary</t>
        </is>
      </c>
      <c r="E4" s="4" t="inlineStr">
        <is>
          <t>{"fromYear":2026,"toYear":2027,"schemeIds":[""],"districtIds":["Chennai"]}</t>
        </is>
      </c>
      <c r="F4" s="4" t="inlineStr">
        <is>
          <t>District-wise application summary counts</t>
        </is>
      </c>
      <c r="G4" s="4" t="inlineStr">
        <is>
          <t>Blocked</t>
        </is>
      </c>
      <c r="H4" s="4" t="inlineStr">
        <is>
          <t>Probe (check_module_apis.py)</t>
        </is>
      </c>
      <c r="I4" s="4" t="inlineStr">
        <is>
          <t>11-Aug-2026</t>
        </is>
      </c>
      <c r="J4" s="4" t="inlineStr">
        <is>
          <t>Server reachable (200) but stored proc 'application_districtwise_summary' is missing in the QA DB (server-side); SSL cert expired</t>
        </is>
      </c>
    </row>
    <row r="5" ht="49.5" customHeight="1">
      <c r="A5" s="5" t="inlineStr">
        <is>
          <t>MAI-02</t>
        </is>
      </c>
      <c r="B5" s="5" t="inlineStr">
        <is>
          <t>TELP</t>
        </is>
      </c>
      <c r="C5" s="5" t="inlineStr">
        <is>
          <t>Detail</t>
        </is>
      </c>
      <c r="D5" s="5" t="inlineStr">
        <is>
          <t>https://qatelp.pixous.info/api/Report/DistrictWise_ApplicationDetail</t>
        </is>
      </c>
      <c r="E5" s="5" t="inlineStr">
        <is>
          <t>{"fromYear":2026,"toYear":2027,"district":"Chennai","categoryType":"statusSavedCount","skip":0,"take":0}</t>
        </is>
      </c>
      <c r="F5" s="5" t="inlineStr">
        <is>
          <t>Application detail rows for the district</t>
        </is>
      </c>
      <c r="G5" s="5" t="inlineStr">
        <is>
          <t>Blocked</t>
        </is>
      </c>
      <c r="H5" s="5" t="inlineStr">
        <is>
          <t>Probe (check_module_apis.py)</t>
        </is>
      </c>
      <c r="I5" s="5" t="inlineStr">
        <is>
          <t>11-Aug-2026</t>
        </is>
      </c>
      <c r="J5" s="5" t="inlineStr">
        <is>
          <t>Same stored-proc failure as MAI-01 (server-side DB issue)</t>
        </is>
      </c>
    </row>
    <row r="6" ht="35" customHeight="1">
      <c r="A6" s="4" t="inlineStr">
        <is>
          <t>MAI-03</t>
        </is>
      </c>
      <c r="B6" s="4" t="inlineStr">
        <is>
          <t>Tahdco Scheme</t>
        </is>
      </c>
      <c r="C6" s="4" t="inlineStr">
        <is>
          <t>COUNT</t>
        </is>
      </c>
      <c r="D6" s="4" t="inlineStr">
        <is>
          <t>https://scst.pixous.info/Report/GetDistrictSummary</t>
        </is>
      </c>
      <c r="E6" s="4" t="inlineStr">
        <is>
          <t>{"fromYear":2026,"toYear":2027}</t>
        </is>
      </c>
      <c r="F6" s="4" t="inlineStr">
        <is>
          <t>District-wise application summary</t>
        </is>
      </c>
      <c r="G6" s="4" t="inlineStr">
        <is>
          <t>Passed</t>
        </is>
      </c>
      <c r="H6" s="4" t="inlineStr">
        <is>
          <t>Probe (check_module_apis.py)</t>
        </is>
      </c>
      <c r="I6" s="4" t="inlineStr">
        <is>
          <t>11-Aug-2026</t>
        </is>
      </c>
      <c r="J6" s="4" t="inlineStr">
        <is>
          <t>Works via GET (POST returns 405); returns district rows e.g. Ariyalur: 65 applications</t>
        </is>
      </c>
    </row>
    <row r="7" ht="64" customHeight="1">
      <c r="A7" s="5" t="inlineStr">
        <is>
          <t>MAI-04</t>
        </is>
      </c>
      <c r="B7" s="5" t="inlineStr">
        <is>
          <t>Tahdco Scheme</t>
        </is>
      </c>
      <c r="C7" s="5" t="inlineStr">
        <is>
          <t>Detail</t>
        </is>
      </c>
      <c r="D7" s="5" t="inlineStr">
        <is>
          <t>https://scst.pixous.info/Report/GetApplicationDetails</t>
        </is>
      </c>
      <c r="E7" s="5" t="inlineStr">
        <is>
          <t>{"draw":1,"start":0,"length":10,"search":{"value":""},"reportFilterModel":{"districtId":"207","statusFilter":"totalApplications"}}</t>
        </is>
      </c>
      <c r="F7" s="5" t="inlineStr">
        <is>
          <t>Application detail rows for the district</t>
        </is>
      </c>
      <c r="G7" s="5" t="inlineStr">
        <is>
          <t>Failed</t>
        </is>
      </c>
      <c r="H7" s="5" t="inlineStr">
        <is>
          <t>Probe (check_module_apis.py)</t>
        </is>
      </c>
      <c r="I7" s="5" t="inlineStr">
        <is>
          <t>11-Aug-2026</t>
        </is>
      </c>
      <c r="J7" s="5" t="inlineStr">
        <is>
          <t>HTTP 500 'Something went wrong'</t>
        </is>
      </c>
    </row>
    <row r="8" ht="64" customHeight="1">
      <c r="A8" s="4" t="inlineStr">
        <is>
          <t>MAI-05</t>
        </is>
      </c>
      <c r="B8" s="4" t="inlineStr">
        <is>
          <t>TIME+Patrol360</t>
        </is>
      </c>
      <c r="C8" s="4" t="inlineStr">
        <is>
          <t>COUNT</t>
        </is>
      </c>
      <c r="D8" s="4" t="inlineStr">
        <is>
          <t>https://timeqa.pixous.info/api/Report/OneDashboard_Work_Get</t>
        </is>
      </c>
      <c r="E8" s="4" t="inlineStr">
        <is>
          <t>{"divisionIds":[],"division":["Chennai"],"district":[],"year":["2023","2024","2025","2026"],"camerastatusList":"Live","type":"work"}</t>
        </is>
      </c>
      <c r="F8" s="4" t="inlineStr">
        <is>
          <t>Work list rows for the division</t>
        </is>
      </c>
      <c r="G8" s="4" t="inlineStr">
        <is>
          <t>Passed</t>
        </is>
      </c>
      <c r="H8" s="4" t="inlineStr">
        <is>
          <t>Probe (check_module_apis.py)</t>
        </is>
      </c>
      <c r="I8" s="4" t="inlineStr">
        <is>
          <t>11-Aug-2026</t>
        </is>
      </c>
      <c r="J8" s="4" t="inlineStr">
        <is>
          <t>200 SUCCESS (1635 rows); SSL cert expired but backend's 'external' HttpClient bypasses it - drives the live TIPS/TIME detail flow</t>
        </is>
      </c>
    </row>
    <row r="9" ht="49.5" customHeight="1">
      <c r="A9" s="5" t="inlineStr">
        <is>
          <t>MAI-06</t>
        </is>
      </c>
      <c r="B9" s="5" t="inlineStr">
        <is>
          <t>TIME+Patrol360</t>
        </is>
      </c>
      <c r="C9" s="5" t="inlineStr">
        <is>
          <t>Detail</t>
        </is>
      </c>
      <c r="D9" s="5" t="inlineStr">
        <is>
          <t>https://timeqa.pixous.info/api/Report/OneDashboard_Work_Get</t>
        </is>
      </c>
      <c r="E9" s="5" t="inlineStr">
        <is>
          <t>{"divisionIds":[],"division":[],"district":[],"year":["2026"],"camerastatusList":"Live","type":"work","statusNameList":[]}</t>
        </is>
      </c>
      <c r="F9" s="5" t="inlineStr">
        <is>
          <t>Detail rows (year-filtered)</t>
        </is>
      </c>
      <c r="G9" s="5" t="inlineStr">
        <is>
          <t>Passed</t>
        </is>
      </c>
      <c r="H9" s="5" t="inlineStr">
        <is>
          <t>Probe (check_module_apis.py)</t>
        </is>
      </c>
      <c r="I9" s="5" t="inlineStr">
        <is>
          <t>11-Aug-2026</t>
        </is>
      </c>
      <c r="J9" s="5" t="inlineStr">
        <is>
          <t>200 SUCCESS - verified end-to-end in the live dashboard (Chengalpattu/Dindigul detail grids)</t>
        </is>
      </c>
    </row>
    <row r="10" ht="35" customHeight="1">
      <c r="A10" s="4" t="inlineStr">
        <is>
          <t>MAI-07</t>
        </is>
      </c>
      <c r="B10" s="4" t="inlineStr">
        <is>
          <t>THMS</t>
        </is>
      </c>
      <c r="C10" s="4" t="inlineStr">
        <is>
          <t>COUNT</t>
        </is>
      </c>
      <c r="D10" s="4" t="inlineStr">
        <is>
          <t>https://thms.tahdco.com/api/onedashboard/count</t>
        </is>
      </c>
      <c r="E10" s="4" t="inlineStr">
        <is>
          <t>{"division":["Chennai"],"district":[],"phase":[],"terrain":[],"builder":[]}</t>
        </is>
      </c>
      <c r="F10" s="4" t="inlineStr">
        <is>
          <t>Housing construction counts</t>
        </is>
      </c>
      <c r="G10" s="4" t="inlineStr">
        <is>
          <t>Blocked</t>
        </is>
      </c>
      <c r="H10" s="4" t="inlineStr">
        <is>
          <t>Probe (check_module_apis.py)</t>
        </is>
      </c>
      <c r="I10" s="4" t="inlineStr">
        <is>
          <t>11-Aug-2026</t>
        </is>
      </c>
      <c r="J10" s="4" t="inlineStr">
        <is>
          <t>403 Cloudflare Error 1010 (browser-signature/IP block from this host); works from the app itself</t>
        </is>
      </c>
    </row>
    <row r="11" ht="35" customHeight="1">
      <c r="A11" s="5" t="inlineStr">
        <is>
          <t>MAI-08</t>
        </is>
      </c>
      <c r="B11" s="5" t="inlineStr">
        <is>
          <t>THMS</t>
        </is>
      </c>
      <c r="C11" s="5" t="inlineStr">
        <is>
          <t>Detail</t>
        </is>
      </c>
      <c r="D11" s="5" t="inlineStr">
        <is>
          <t>https://thms.tahdco.com/api/onedashboard/count-ben</t>
        </is>
      </c>
      <c r="E11" s="5" t="inlineStr">
        <is>
          <t>{"division":["Chennai"],"district":[],"phase":[],"terrain":[],"builder":[]}</t>
        </is>
      </c>
      <c r="F11" s="5" t="inlineStr">
        <is>
          <t>Beneficiary detail rows</t>
        </is>
      </c>
      <c r="G11" s="5" t="inlineStr">
        <is>
          <t>Blocked</t>
        </is>
      </c>
      <c r="H11" s="5" t="inlineStr">
        <is>
          <t>Probe (check_module_apis.py)</t>
        </is>
      </c>
      <c r="I11" s="5" t="inlineStr">
        <is>
          <t>11-Aug-2026</t>
        </is>
      </c>
      <c r="J11" s="5" t="inlineStr">
        <is>
          <t>Same Cloudflare Error 1010 block as MAI-07</t>
        </is>
      </c>
    </row>
    <row r="12" ht="35" customHeight="1">
      <c r="A12" s="4" t="inlineStr">
        <is>
          <t>MAI-09</t>
        </is>
      </c>
      <c r="B12" s="4" t="inlineStr">
        <is>
          <t>TAMS</t>
        </is>
      </c>
      <c r="C12" s="4" t="inlineStr">
        <is>
          <t>COUNT</t>
        </is>
      </c>
      <c r="D12" s="4" t="inlineStr">
        <is>
          <t>https://tams.tahdco.com/api/onedashboard/count</t>
        </is>
      </c>
      <c r="E12" s="4" t="inlineStr">
        <is>
          <t>{"division":["Chennai"],"district":[],"institute":[]}</t>
        </is>
      </c>
      <c r="F12" s="4" t="inlineStr">
        <is>
          <t>Attendance counts</t>
        </is>
      </c>
      <c r="G12" s="4" t="inlineStr">
        <is>
          <t>Blocked</t>
        </is>
      </c>
      <c r="H12" s="4" t="inlineStr">
        <is>
          <t>Probe (check_module_apis.py)</t>
        </is>
      </c>
      <c r="I12" s="4" t="inlineStr">
        <is>
          <t>11-Aug-2026</t>
        </is>
      </c>
      <c r="J12" s="4" t="inlineStr">
        <is>
          <t>403 Cloudflare Error 1010 (browser-signature/IP block from this host)</t>
        </is>
      </c>
    </row>
    <row r="13" ht="35" customHeight="1">
      <c r="A13" s="5" t="inlineStr">
        <is>
          <t>MAI-10</t>
        </is>
      </c>
      <c r="B13" s="5" t="inlineStr">
        <is>
          <t>TAMS</t>
        </is>
      </c>
      <c r="C13" s="5" t="inlineStr">
        <is>
          <t>Detail</t>
        </is>
      </c>
      <c r="D13" s="5" t="inlineStr">
        <is>
          <t>https://tams.tahdco.com/api/onedashboard/count-ben</t>
        </is>
      </c>
      <c r="E13" s="5" t="inlineStr">
        <is>
          <t>{"division":["Chennai"],"district":[],"institute":[]}</t>
        </is>
      </c>
      <c r="F13" s="5" t="inlineStr">
        <is>
          <t>Beneficiary detail rows</t>
        </is>
      </c>
      <c r="G13" s="5" t="inlineStr">
        <is>
          <t>Blocked</t>
        </is>
      </c>
      <c r="H13" s="5" t="inlineStr">
        <is>
          <t>Probe (check_module_apis.py)</t>
        </is>
      </c>
      <c r="I13" s="5" t="inlineStr">
        <is>
          <t>11-Aug-2026</t>
        </is>
      </c>
      <c r="J13" s="5" t="inlineStr">
        <is>
          <t>Same Cloudflare Error 1010 block as MAI-09</t>
        </is>
      </c>
    </row>
    <row r="14" ht="35" customHeight="1">
      <c r="A14" s="4" t="inlineStr">
        <is>
          <t>MAI-11</t>
        </is>
      </c>
      <c r="B14" s="4" t="inlineStr">
        <is>
          <t>One Portal (Member)</t>
        </is>
      </c>
      <c r="C14" s="4" t="inlineStr">
        <is>
          <t>COUNT</t>
        </is>
      </c>
      <c r="D14" s="4" t="inlineStr">
        <is>
          <t>https://testtncwwbv2-qa.pixoustech.app/api/OneDashboard/General</t>
        </is>
      </c>
      <c r="E14" s="4" t="inlineStr">
        <is>
          <t>Type=MEMBER&amp;Mode=Count&amp;Status=HqPending&amp;Year=2026 (query string)</t>
        </is>
      </c>
      <c r="F14" s="4" t="inlineStr">
        <is>
          <t>Member count for the status/year</t>
        </is>
      </c>
      <c r="G14" s="4" t="inlineStr">
        <is>
          <t>Blocked</t>
        </is>
      </c>
      <c r="H14" s="4" t="inlineStr">
        <is>
          <t>Probe (check_module_apis.py)</t>
        </is>
      </c>
      <c r="I14" s="4" t="inlineStr">
        <is>
          <t>11-Aug-2026</t>
        </is>
      </c>
      <c r="J14" s="4" t="inlineStr">
        <is>
          <t>HTTP 200 wrapper but status=ERROR - QA DB auth failure (MYSQL5049.site4now.net) on the server side</t>
        </is>
      </c>
    </row>
    <row r="15" ht="35" customHeight="1">
      <c r="A15" s="5" t="inlineStr">
        <is>
          <t>MAI-12</t>
        </is>
      </c>
      <c r="B15" s="5" t="inlineStr">
        <is>
          <t>One Portal (Member)</t>
        </is>
      </c>
      <c r="C15" s="5" t="inlineStr">
        <is>
          <t>Detail</t>
        </is>
      </c>
      <c r="D15" s="5" t="inlineStr">
        <is>
          <t>https://testtncwwbv2-qa.pixoustech.app/api/OneDashboard/General</t>
        </is>
      </c>
      <c r="E15" s="5" t="inlineStr">
        <is>
          <t>Type=MEMBER&amp;Mode=LIST&amp;Status=HqPending&amp;Year=2026 (query string)</t>
        </is>
      </c>
      <c r="F15" s="5" t="inlineStr">
        <is>
          <t>Member detail rows</t>
        </is>
      </c>
      <c r="G15" s="5" t="inlineStr">
        <is>
          <t>Blocked</t>
        </is>
      </c>
      <c r="H15" s="5" t="inlineStr">
        <is>
          <t>Probe (check_module_apis.py)</t>
        </is>
      </c>
      <c r="I15" s="5" t="inlineStr">
        <is>
          <t>11-Aug-2026</t>
        </is>
      </c>
      <c r="J15" s="5" t="inlineStr">
        <is>
          <t>Same QA DB auth failure as MAI-11</t>
        </is>
      </c>
    </row>
    <row r="16" ht="35" customHeight="1">
      <c r="A16" s="4" t="inlineStr">
        <is>
          <t>MAI-13</t>
        </is>
      </c>
      <c r="B16" s="4" t="inlineStr">
        <is>
          <t>One Portal (Scheme)</t>
        </is>
      </c>
      <c r="C16" s="4" t="inlineStr">
        <is>
          <t>COUNT</t>
        </is>
      </c>
      <c r="D16" s="4" t="inlineStr">
        <is>
          <t>https://testtncwwbv2-qa.pixoustech.app/api/OneDashboard/General</t>
        </is>
      </c>
      <c r="E16" s="4" t="inlineStr">
        <is>
          <t>Type=Scheme&amp;Mode=Count&amp;Status=HqPending&amp;Year=2026 (query string)</t>
        </is>
      </c>
      <c r="F16" s="4" t="inlineStr">
        <is>
          <t>Scheme count for the status/year</t>
        </is>
      </c>
      <c r="G16" s="4" t="inlineStr">
        <is>
          <t>Blocked</t>
        </is>
      </c>
      <c r="H16" s="4" t="inlineStr">
        <is>
          <t>Probe (check_module_apis.py)</t>
        </is>
      </c>
      <c r="I16" s="4" t="inlineStr">
        <is>
          <t>11-Aug-2026</t>
        </is>
      </c>
      <c r="J16" s="4" t="inlineStr">
        <is>
          <t>Same QA DB auth failure as MAI-11</t>
        </is>
      </c>
    </row>
    <row r="17" ht="35" customHeight="1">
      <c r="A17" s="5" t="inlineStr">
        <is>
          <t>MAI-14</t>
        </is>
      </c>
      <c r="B17" s="5" t="inlineStr">
        <is>
          <t>One Portal (Scheme)</t>
        </is>
      </c>
      <c r="C17" s="5" t="inlineStr">
        <is>
          <t>Detail</t>
        </is>
      </c>
      <c r="D17" s="5" t="inlineStr">
        <is>
          <t>https://testtncwwbv2-qa.pixoustech.app/api/OneDashboard/General</t>
        </is>
      </c>
      <c r="E17" s="5" t="inlineStr">
        <is>
          <t>Type=Scheme&amp;Mode=LIST&amp;Status=HqPending&amp;Year=2026 (query string)</t>
        </is>
      </c>
      <c r="F17" s="5" t="inlineStr">
        <is>
          <t>Scheme detail rows</t>
        </is>
      </c>
      <c r="G17" s="5" t="inlineStr">
        <is>
          <t>Blocked</t>
        </is>
      </c>
      <c r="H17" s="5" t="inlineStr">
        <is>
          <t>Probe (check_module_apis.py)</t>
        </is>
      </c>
      <c r="I17" s="5" t="inlineStr">
        <is>
          <t>11-Aug-2026</t>
        </is>
      </c>
      <c r="J17" s="5" t="inlineStr">
        <is>
          <t>Same QA DB auth failure as MAI-11</t>
        </is>
      </c>
    </row>
    <row r="18" ht="35" customHeight="1">
      <c r="A18" s="4" t="inlineStr">
        <is>
          <t>MAI-15</t>
        </is>
      </c>
      <c r="B18" s="4" t="inlineStr">
        <is>
          <t>TOD</t>
        </is>
      </c>
      <c r="C18" s="4" t="inlineStr">
        <is>
          <t>COUNT / Detail</t>
        </is>
      </c>
      <c r="D18" s="4" t="inlineStr">
        <is>
          <t>(not supplied)</t>
        </is>
      </c>
      <c r="E18" s="4" t="inlineStr">
        <is>
          <t>-</t>
        </is>
      </c>
      <c r="F18" s="4" t="inlineStr">
        <is>
          <t>Online Diary counts/details</t>
        </is>
      </c>
      <c r="G18" s="4" t="inlineStr">
        <is>
          <t>Not Executed</t>
        </is>
      </c>
      <c r="H18" s="4" t="inlineStr">
        <is>
          <t>-</t>
        </is>
      </c>
      <c r="I18" s="4" t="inlineStr">
        <is>
          <t>11-Aug-2026</t>
        </is>
      </c>
      <c r="J18" s="4" t="inlineStr">
        <is>
          <t>No endpoint provided for this module</t>
        </is>
      </c>
    </row>
  </sheetData>
  <autoFilter ref="A3:J18"/>
  <mergeCells count="2">
    <mergeCell ref="A1:J1"/>
    <mergeCell ref="A2:J2"/>
  </mergeCells>
  <conditionalFormatting sqref="G4:G218">
    <cfRule type="cellIs" priority="1" operator="equal" dxfId="2">
      <formula>"Passed"</formula>
    </cfRule>
    <cfRule type="cellIs" priority="2" operator="equal" dxfId="0">
      <formula>"Failed"</formula>
    </cfRule>
    <cfRule type="cellIs" priority="3" operator="equal" dxfId="1">
      <formula>"Blocked"</formula>
    </cfRule>
    <cfRule type="cellIs" priority="4" operator="equal" dxfId="3">
      <formula>"Not Executed"</formula>
    </cfRule>
    <cfRule type="cellIs" priority="5" operator="equal" dxfId="1">
      <formula>"In Progress"</formula>
    </cfRule>
  </conditionalFormatting>
  <dataValidations count="1">
    <dataValidation sqref="G4:G218" showDropDown="0" showInputMessage="0" showErrorMessage="1" allowBlank="1" errorTitle="Invalid value" error="Please pick a value from the dropdown list." type="list">
      <formula1>"Passed,Failed,Blocked,Not Executed,In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6" customHeight="1">
      <c r="A1" s="11" t="inlineStr">
        <is>
          <t>Test Summary Dashboard - TAHDCO UDP</t>
        </is>
      </c>
    </row>
    <row r="2" ht="16" customHeight="1">
      <c r="A2" s="12" t="inlineStr">
        <is>
          <t>Live metrics - recalculated automatically from the Requirements, Unit Test Cases, and Browser Compatibility sheets.</t>
        </is>
      </c>
    </row>
    <row r="4" ht="2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Source / Definition</t>
        </is>
      </c>
    </row>
    <row r="5" ht="20" customHeight="1">
      <c r="A5" s="13" t="inlineStr">
        <is>
          <t>Total Requirements</t>
        </is>
      </c>
      <c r="B5" s="14">
        <f>COUNTA(Requirements!$A$4:$A$500)</f>
        <v/>
      </c>
      <c r="C5" s="5" t="inlineStr">
        <is>
          <t>Count of rows in the Requirements sheet</t>
        </is>
      </c>
    </row>
    <row r="6" ht="20" customHeight="1">
      <c r="A6" s="15" t="inlineStr">
        <is>
          <t>Total Test Cases</t>
        </is>
      </c>
      <c r="B6" s="16">
        <f>COUNTA('Unit Test Cases'!$A$4:$A$500)</f>
        <v/>
      </c>
      <c r="C6" s="4" t="inlineStr">
        <is>
          <t>Count of rows in the Unit Test Cases sheet</t>
        </is>
      </c>
    </row>
    <row r="7" ht="20" customHeight="1">
      <c r="A7" s="13" t="inlineStr">
        <is>
          <t>Passed</t>
        </is>
      </c>
      <c r="B7" s="14">
        <f>COUNTIF('Unit Test Cases'!$J$4:$J$500,"Passed")</f>
        <v/>
      </c>
      <c r="C7" s="5" t="inlineStr">
        <is>
          <t>Test cases with Status = Passed</t>
        </is>
      </c>
    </row>
    <row r="8" ht="20" customHeight="1">
      <c r="A8" s="15" t="inlineStr">
        <is>
          <t>Failed</t>
        </is>
      </c>
      <c r="B8" s="16">
        <f>COUNTIF('Unit Test Cases'!$J$4:$J$500,"Failed")</f>
        <v/>
      </c>
      <c r="C8" s="4" t="inlineStr">
        <is>
          <t>Test cases with Status = Failed</t>
        </is>
      </c>
    </row>
    <row r="9" ht="20" customHeight="1">
      <c r="A9" s="13" t="inlineStr">
        <is>
          <t>Blocked</t>
        </is>
      </c>
      <c r="B9" s="14">
        <f>COUNTIF('Unit Test Cases'!$J$4:$J$500,"Blocked")</f>
        <v/>
      </c>
      <c r="C9" s="5" t="inlineStr">
        <is>
          <t>Test cases with Status = Blocked</t>
        </is>
      </c>
    </row>
    <row r="10" ht="20" customHeight="1">
      <c r="A10" s="15" t="inlineStr">
        <is>
          <t>Open Defects</t>
        </is>
      </c>
      <c r="B10" s="16">
        <f>COUNTA('Unit Test Cases'!$L$4:$L$500)</f>
        <v/>
      </c>
      <c r="C10" s="4" t="inlineStr">
        <is>
          <t>Test cases with a Defect ID assigned</t>
        </is>
      </c>
    </row>
    <row r="11" ht="20" customHeight="1">
      <c r="A11" s="13" t="inlineStr">
        <is>
          <t>Pass Rate</t>
        </is>
      </c>
      <c r="B11" s="14">
        <f>IF(B6=0,"—",TEXT(B7/B6,"0.0%"))</f>
        <v/>
      </c>
      <c r="C11" s="5" t="inlineStr">
        <is>
          <t>Passed / Total Test Cases</t>
        </is>
      </c>
    </row>
    <row r="12" ht="20" customHeight="1">
      <c r="A12" s="15" t="inlineStr">
        <is>
          <t>Total Functional Tests</t>
        </is>
      </c>
      <c r="B12" s="16">
        <f>COUNTA('Functional E2E Tests'!$A$4:$A$500)</f>
        <v/>
      </c>
      <c r="C12" s="4" t="inlineStr">
        <is>
          <t>Count of rows in the Functional E2E Tests sheet</t>
        </is>
      </c>
    </row>
    <row r="13" ht="20" customHeight="1">
      <c r="A13" s="13" t="inlineStr">
        <is>
          <t>Functional Passed</t>
        </is>
      </c>
      <c r="B13" s="14">
        <f>COUNTIF('Functional E2E Tests'!$J$4:$J$500,"Passed")</f>
        <v/>
      </c>
      <c r="C13" s="5" t="inlineStr">
        <is>
          <t>Functional tests with Status = Passed (automated Playwright run)</t>
        </is>
      </c>
    </row>
    <row r="14" ht="20" customHeight="1">
      <c r="A14" s="15" t="inlineStr">
        <is>
          <t>Functional Failed</t>
        </is>
      </c>
      <c r="B14" s="16">
        <f>COUNTIF('Functional E2E Tests'!$J$4:$J$500,"Failed")</f>
        <v/>
      </c>
      <c r="C14" s="4" t="inlineStr">
        <is>
          <t>Functional tests with Status = Failed</t>
        </is>
      </c>
    </row>
    <row r="15" ht="20" customHeight="1">
      <c r="A15" s="13" t="inlineStr">
        <is>
          <t>Functional Blocked</t>
        </is>
      </c>
      <c r="B15" s="14">
        <f>COUNTIF('Functional E2E Tests'!$J$4:$J$500,"Blocked")</f>
        <v/>
      </c>
      <c r="C15" s="5" t="inlineStr">
        <is>
          <t>Functional tests with Status = Blocked</t>
        </is>
      </c>
    </row>
    <row r="16" ht="20" customHeight="1">
      <c r="A16" s="15" t="inlineStr">
        <is>
          <t>Total API Perf Tests</t>
        </is>
      </c>
      <c r="B16" s="16">
        <f>COUNTA('API Performance Test'!$A$4:$A$500)</f>
        <v/>
      </c>
      <c r="C16" s="4" t="inlineStr">
        <is>
          <t>Count of rows in the API Performance Test sheet</t>
        </is>
      </c>
    </row>
    <row r="17" ht="20" customHeight="1">
      <c r="A17" s="13" t="inlineStr">
        <is>
          <t>API Tests Passed</t>
        </is>
      </c>
      <c r="B17" s="14">
        <f>COUNTIF('API Performance Test'!$M$4:$M$500,"Passed")</f>
        <v/>
      </c>
      <c r="C17" s="5" t="inlineStr">
        <is>
          <t>API performance tests with Result = Passed</t>
        </is>
      </c>
    </row>
    <row r="18" ht="20" customHeight="1">
      <c r="A18" s="15" t="inlineStr">
        <is>
          <t>API Tests Not Executed</t>
        </is>
      </c>
      <c r="B18" s="16">
        <f>COUNTIF('API Performance Test'!$M$4:$M$500,"Not Executed")</f>
        <v/>
      </c>
      <c r="C18" s="4" t="inlineStr">
        <is>
          <t>API performance tests awaiting a load-test run</t>
        </is>
      </c>
    </row>
    <row r="19" ht="20" customHeight="1">
      <c r="A19" s="13" t="inlineStr">
        <is>
          <t>Module API Checks</t>
        </is>
      </c>
      <c r="B19" s="14">
        <f>COUNTA('Module API Integration'!$A$4:$A$500)</f>
        <v/>
      </c>
      <c r="C19" s="5" t="inlineStr">
        <is>
          <t>Count of rows in the Module API Integration sheet</t>
        </is>
      </c>
    </row>
    <row r="20" ht="20" customHeight="1">
      <c r="A20" s="15" t="inlineStr">
        <is>
          <t>Module API Passed</t>
        </is>
      </c>
      <c r="B20" s="16">
        <f>COUNTIF('Module API Integration'!$G$4:$G$500,"Passed")</f>
        <v/>
      </c>
      <c r="C20" s="4" t="inlineStr">
        <is>
          <t>Module COUNT/Detail endpoints returning valid data</t>
        </is>
      </c>
    </row>
    <row r="21" ht="20" customHeight="1">
      <c r="A21" s="13" t="inlineStr">
        <is>
          <t>Module API Blocked</t>
        </is>
      </c>
      <c r="B21" s="14">
        <f>COUNTIF('Module API Integration'!$G$4:$G$500,"Blocked")</f>
        <v/>
      </c>
      <c r="C21" s="5" t="inlineStr">
        <is>
          <t>Endpoints blocked by a server-side/environment issue (stored proc, DB auth, Cloudflare)</t>
        </is>
      </c>
    </row>
    <row r="22" ht="20" customHeight="1">
      <c r="A22" s="15" t="inlineStr">
        <is>
          <t>Module API Failed</t>
        </is>
      </c>
      <c r="B22" s="16">
        <f>COUNTIF('Module API Integration'!$G$4:$G$500,"Failed")</f>
        <v/>
      </c>
      <c r="C22" s="4" t="inlineStr">
        <is>
          <t>Endpoints returning an HTTP error</t>
        </is>
      </c>
    </row>
    <row r="24">
      <c r="A24" s="17" t="inlineStr">
        <is>
          <t>Legend - Status Colors</t>
        </is>
      </c>
    </row>
    <row r="25" ht="18" customHeight="1">
      <c r="A25" s="18" t="n"/>
      <c r="B25" s="19" t="inlineStr">
        <is>
          <t>Passed / Implemented</t>
        </is>
      </c>
    </row>
    <row r="26" ht="18" customHeight="1">
      <c r="A26" s="20" t="n"/>
      <c r="B26" s="19" t="inlineStr">
        <is>
          <t>Failed</t>
        </is>
      </c>
    </row>
    <row r="27" ht="18" customHeight="1">
      <c r="A27" s="21" t="n"/>
      <c r="B27" s="19" t="inlineStr">
        <is>
          <t>Blocked / In Progress</t>
        </is>
      </c>
    </row>
    <row r="28" ht="18" customHeight="1">
      <c r="A28" s="22" t="n"/>
      <c r="B28" s="19" t="inlineStr">
        <is>
          <t>Not Executed / Not Started</t>
        </is>
      </c>
    </row>
    <row r="30">
      <c r="A30" s="23" t="inlineStr">
        <is>
          <t>Tip: filters and dropdowns are active on every sheet; update statuses and the summary updates automatically. Freeze panes keep the header row visible while scrolling.</t>
        </is>
      </c>
    </row>
  </sheetData>
  <mergeCells count="4">
    <mergeCell ref="A1:C1"/>
    <mergeCell ref="A24:C24"/>
    <mergeCell ref="A2:C2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2026-08-11T06:06:26Z</dcterms:created>
  <dcterms:modified xsi:type="dcterms:W3CDTF">2026-08-11T06:06:26Z</dcterms:modified>
</cp:coreProperties>
</file>